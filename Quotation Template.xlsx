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nthonyPenzes\Desktop\RMAA System\"/>
    </mc:Choice>
  </mc:AlternateContent>
  <xr:revisionPtr revIDLastSave="0" documentId="13_ncr:1_{2928416C-AE14-4972-872D-5051547EA2ED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Sheet1!$A$1:$I$44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34" i="1" l="1"/>
  <c r="I35" i="1"/>
  <c r="I36" i="1"/>
  <c r="I37" i="1"/>
  <c r="I29" i="1"/>
  <c r="I30" i="1"/>
  <c r="I24" i="1" l="1"/>
  <c r="I25" i="1"/>
  <c r="I22" i="1" l="1"/>
  <c r="I23" i="1"/>
  <c r="I26" i="1"/>
  <c r="I28" i="1" l="1"/>
  <c r="I31" i="1" s="1"/>
  <c r="I38" i="1" l="1"/>
  <c r="I39" i="1" s="1"/>
  <c r="G28" i="1"/>
</calcChain>
</file>

<file path=xl/sharedStrings.xml><?xml version="1.0" encoding="utf-8"?>
<sst xmlns="http://schemas.openxmlformats.org/spreadsheetml/2006/main" count="58" uniqueCount="50">
  <si>
    <t>Name of Client:</t>
  </si>
  <si>
    <t>RMAA member:</t>
  </si>
  <si>
    <t>RC:</t>
  </si>
  <si>
    <t>Throughput:</t>
  </si>
  <si>
    <t>Seta:</t>
  </si>
  <si>
    <t>Client Contact:</t>
  </si>
  <si>
    <t>Telephone:</t>
  </si>
  <si>
    <t>Fax:</t>
  </si>
  <si>
    <t>Cell:</t>
  </si>
  <si>
    <t>E-mail:</t>
  </si>
  <si>
    <t>Postal Address:</t>
  </si>
  <si>
    <t>Street Address:</t>
  </si>
  <si>
    <t>RMAA Contact:</t>
  </si>
  <si>
    <t>Date</t>
  </si>
  <si>
    <t>TOTAL R</t>
  </si>
  <si>
    <t>Client</t>
  </si>
  <si>
    <t>VAT Number</t>
  </si>
  <si>
    <t>Skills Programme</t>
  </si>
  <si>
    <t>Slaughter Technique</t>
  </si>
  <si>
    <t xml:space="preserve">General Manager : Dr GC Neethling
 Red Meat Abattoir Association                                                                     Abattoir Skills Training
</t>
  </si>
  <si>
    <t xml:space="preserve"> TOTAL Excl 15% VAT</t>
  </si>
  <si>
    <t>012 349 1237</t>
  </si>
  <si>
    <t>Discount provided</t>
  </si>
  <si>
    <t>084 047 0001</t>
  </si>
  <si>
    <t>training@rmaa.co.za</t>
  </si>
  <si>
    <t>Sub - total</t>
  </si>
  <si>
    <r>
      <t xml:space="preserve">Notes: </t>
    </r>
    <r>
      <rPr>
        <b/>
        <i/>
        <u/>
        <sz val="11"/>
        <color rgb="FFFF0000"/>
        <rFont val="Calibri"/>
        <family val="2"/>
        <scheme val="minor"/>
      </rPr>
      <t xml:space="preserve">15% VAT EXCLUDED in all cases/ 
</t>
    </r>
    <r>
      <rPr>
        <b/>
        <i/>
        <u/>
        <sz val="14"/>
        <color rgb="FFFF0000"/>
        <rFont val="Calibri"/>
        <family val="2"/>
        <scheme val="minor"/>
      </rPr>
      <t>CERTIFIED ID COPIES(COLOUR) NEEDED FOR ALL TRAINING</t>
    </r>
  </si>
  <si>
    <t>For acceptance of the quote, please sign below and email back the signed copy</t>
  </si>
  <si>
    <t>Sampling</t>
  </si>
  <si>
    <t>Nolwazi Legwabi</t>
  </si>
  <si>
    <t>Audit verification</t>
  </si>
  <si>
    <t>Service cost (PAH,HAW)</t>
  </si>
  <si>
    <r>
      <t xml:space="preserve">Distance </t>
    </r>
    <r>
      <rPr>
        <b/>
        <sz val="12"/>
        <color theme="1"/>
        <rFont val="Arial Narrow"/>
        <family val="2"/>
      </rPr>
      <t>(km)</t>
    </r>
    <r>
      <rPr>
        <b/>
        <sz val="10"/>
        <color theme="1"/>
        <rFont val="Arial Narrow"/>
        <family val="2"/>
      </rPr>
      <t xml:space="preserve">
@ R 5.5 pkm</t>
    </r>
  </si>
  <si>
    <t>Accomm  @ 
R 800 pppn</t>
  </si>
  <si>
    <t>Conducting audit verification &amp; sampling enables us to provide you with a discount.</t>
  </si>
  <si>
    <t>Training and Support Services Contract 2026</t>
  </si>
  <si>
    <t>Doornplaat Abattoir</t>
  </si>
  <si>
    <t>03/12R</t>
  </si>
  <si>
    <t>HT 400</t>
  </si>
  <si>
    <t>4920255173</t>
  </si>
  <si>
    <t>Grace Maluleke</t>
  </si>
  <si>
    <t>012 940 2571</t>
  </si>
  <si>
    <t>082 426 6435</t>
  </si>
  <si>
    <t>grace@doornplaat.com</t>
  </si>
  <si>
    <t>P O Box 20454, Rustenburg, 0305</t>
  </si>
  <si>
    <t>1 Bonsmara Street Brits</t>
  </si>
  <si>
    <t>Yes</t>
  </si>
  <si>
    <t>QUOTATION DATE: 23/02/2026</t>
  </si>
  <si>
    <t>Amount</t>
  </si>
  <si>
    <t>Discounted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</si>
</sst>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&quot;£&quot;* #,##0.00_-;\-&quot;£&quot;* #,##0.00_-;_-&quot;£&quot;* &quot;-&quot;??_-;_-@_-"/>
    <numFmt numFmtId="165" formatCode="[$-1C09]dd\ mmmm\ yyyy;@"/>
    <numFmt numFmtId="166" formatCode="[$R-1C09]#,##0.00"/>
    <numFmt numFmtId="167" formatCode="[$-F800]dddd\,\ mmmm\ dd\,\ yyyy"/>
    <numFmt numFmtId="168" formatCode="&quot;R&quot;#,##0.00"/>
    <numFmt numFmtId="171" formatCode="0\ &quot;km&quot;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i/>
      <u/>
      <sz val="11"/>
      <color rgb="FFFF0000"/>
      <name val="Calibri"/>
      <family val="2"/>
      <scheme val="minor"/>
    </font>
    <font>
      <sz val="7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i/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4" tint="-0.249977111117893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rgb="FFFF0000"/>
      <name val="Trebuchet MS"/>
      <family val="2"/>
    </font>
    <font>
      <b/>
      <sz val="11"/>
      <color rgb="FF0033CC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Calibri"/>
      <family val="2"/>
      <scheme val="minor"/>
    </font>
    <font>
      <b/>
      <sz val="12"/>
      <color theme="1"/>
      <name val="Arial Narrow"/>
      <family val="2"/>
    </font>
    <font>
      <sz val="9"/>
      <color theme="1"/>
      <name val="Calibri"/>
      <family val="2"/>
      <scheme val="minor"/>
    </font>
    <font>
      <b/>
      <i/>
      <u/>
      <sz val="14"/>
      <color rgb="FFFF000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0033CC"/>
      <name val="Calibri"/>
      <family val="2"/>
      <scheme val="minor"/>
    </font>
    <font>
      <b/>
      <sz val="8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164" fontId="1" fillId="0" borderId="0" applyFont="0" applyFill="0" applyBorder="0" applyAlignment="0" applyProtection="0"/>
  </cellStyleXfs>
  <cellXfs count="168">
    <xf numFmtId="0" fontId="0" fillId="0" borderId="0" xfId="0"/>
    <xf numFmtId="0" fontId="0" fillId="0" borderId="12" xfId="0" applyBorder="1"/>
    <xf numFmtId="0" fontId="0" fillId="0" borderId="0" xfId="0" applyAlignment="1">
      <alignment wrapText="1"/>
    </xf>
    <xf numFmtId="0" fontId="10" fillId="0" borderId="2" xfId="0" applyFont="1" applyBorder="1" applyAlignment="1">
      <alignment horizontal="center" vertical="center" wrapText="1"/>
    </xf>
    <xf numFmtId="4" fontId="10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5" fillId="0" borderId="0" xfId="0" applyFont="1"/>
    <xf numFmtId="0" fontId="15" fillId="0" borderId="6" xfId="0" applyFont="1" applyBorder="1" applyAlignment="1">
      <alignment horizontal="center" vertical="center"/>
    </xf>
    <xf numFmtId="4" fontId="15" fillId="0" borderId="2" xfId="0" applyNumberFormat="1" applyFont="1" applyBorder="1" applyAlignment="1">
      <alignment horizontal="center" vertical="center" wrapText="1"/>
    </xf>
    <xf numFmtId="3" fontId="15" fillId="0" borderId="2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7" fillId="0" borderId="2" xfId="0" applyFont="1" applyBorder="1" applyAlignment="1">
      <alignment horizontal="left" vertical="top" wrapText="1"/>
    </xf>
    <xf numFmtId="0" fontId="17" fillId="0" borderId="2" xfId="0" applyFont="1" applyBorder="1" applyAlignment="1">
      <alignment horizontal="center" vertical="top" wrapText="1"/>
    </xf>
    <xf numFmtId="0" fontId="17" fillId="0" borderId="2" xfId="0" applyFont="1" applyBorder="1" applyAlignment="1">
      <alignment horizontal="center" vertical="top"/>
    </xf>
    <xf numFmtId="166" fontId="0" fillId="0" borderId="12" xfId="0" applyNumberFormat="1" applyBorder="1"/>
    <xf numFmtId="166" fontId="15" fillId="0" borderId="2" xfId="0" applyNumberFormat="1" applyFont="1" applyBorder="1" applyAlignment="1">
      <alignment horizontal="center" vertical="center" wrapText="1"/>
    </xf>
    <xf numFmtId="166" fontId="0" fillId="0" borderId="0" xfId="0" applyNumberFormat="1"/>
    <xf numFmtId="166" fontId="15" fillId="0" borderId="7" xfId="0" applyNumberFormat="1" applyFont="1" applyBorder="1" applyAlignment="1">
      <alignment horizontal="center" vertical="center" wrapText="1"/>
    </xf>
    <xf numFmtId="166" fontId="10" fillId="0" borderId="7" xfId="0" applyNumberFormat="1" applyFont="1" applyBorder="1" applyAlignment="1">
      <alignment horizontal="center" vertical="center" wrapText="1"/>
    </xf>
    <xf numFmtId="166" fontId="6" fillId="0" borderId="0" xfId="0" applyNumberFormat="1" applyFont="1" applyAlignment="1">
      <alignment vertical="center" wrapText="1"/>
    </xf>
    <xf numFmtId="166" fontId="6" fillId="0" borderId="7" xfId="0" applyNumberFormat="1" applyFont="1" applyBorder="1" applyAlignment="1">
      <alignment vertical="center" wrapText="1"/>
    </xf>
    <xf numFmtId="166" fontId="2" fillId="0" borderId="24" xfId="2" applyNumberFormat="1" applyFont="1" applyBorder="1" applyAlignment="1">
      <alignment vertical="center"/>
    </xf>
    <xf numFmtId="0" fontId="0" fillId="0" borderId="21" xfId="0" applyBorder="1"/>
    <xf numFmtId="0" fontId="0" fillId="0" borderId="18" xfId="0" applyBorder="1"/>
    <xf numFmtId="166" fontId="0" fillId="0" borderId="22" xfId="0" applyNumberFormat="1" applyBorder="1"/>
    <xf numFmtId="168" fontId="10" fillId="0" borderId="2" xfId="0" applyNumberFormat="1" applyFont="1" applyBorder="1" applyAlignment="1">
      <alignment horizontal="center" vertical="center" wrapText="1"/>
    </xf>
    <xf numFmtId="0" fontId="23" fillId="0" borderId="2" xfId="0" applyNumberFormat="1" applyFont="1" applyBorder="1" applyAlignment="1">
      <alignment horizontal="center" vertical="center" wrapText="1"/>
    </xf>
    <xf numFmtId="166" fontId="6" fillId="0" borderId="7" xfId="0" applyNumberFormat="1" applyFont="1" applyBorder="1" applyAlignment="1">
      <alignment horizontal="center" vertical="center" wrapText="1"/>
    </xf>
    <xf numFmtId="166" fontId="6" fillId="0" borderId="2" xfId="0" applyNumberFormat="1" applyFont="1" applyBorder="1" applyAlignment="1">
      <alignment horizontal="center" vertical="center" wrapText="1"/>
    </xf>
    <xf numFmtId="49" fontId="11" fillId="0" borderId="9" xfId="0" applyNumberFormat="1" applyFont="1" applyBorder="1" applyAlignment="1">
      <alignment horizontal="left" vertical="top" wrapText="1"/>
    </xf>
    <xf numFmtId="49" fontId="11" fillId="0" borderId="10" xfId="0" applyNumberFormat="1" applyFont="1" applyBorder="1" applyAlignment="1">
      <alignment horizontal="left" vertical="top" wrapText="1"/>
    </xf>
    <xf numFmtId="165" fontId="2" fillId="0" borderId="20" xfId="0" applyNumberFormat="1" applyFont="1" applyBorder="1" applyAlignment="1">
      <alignment horizontal="left" vertical="center"/>
    </xf>
    <xf numFmtId="49" fontId="2" fillId="0" borderId="3" xfId="0" applyNumberFormat="1" applyFont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49" fontId="2" fillId="0" borderId="6" xfId="0" applyNumberFormat="1" applyFont="1" applyBorder="1" applyAlignment="1">
      <alignment horizontal="left"/>
    </xf>
    <xf numFmtId="49" fontId="2" fillId="0" borderId="2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49" fontId="0" fillId="0" borderId="2" xfId="0" applyNumberFormat="1" applyBorder="1" applyAlignment="1">
      <alignment horizontal="left"/>
    </xf>
    <xf numFmtId="49" fontId="0" fillId="0" borderId="7" xfId="0" applyNumberFormat="1" applyBorder="1" applyAlignment="1">
      <alignment horizontal="left"/>
    </xf>
    <xf numFmtId="49" fontId="13" fillId="0" borderId="2" xfId="0" applyNumberFormat="1" applyFont="1" applyBorder="1" applyAlignment="1">
      <alignment horizontal="left" vertical="top" wrapText="1"/>
    </xf>
    <xf numFmtId="49" fontId="13" fillId="0" borderId="2" xfId="0" applyNumberFormat="1" applyFont="1" applyBorder="1" applyAlignment="1">
      <alignment horizontal="left" vertical="top"/>
    </xf>
    <xf numFmtId="49" fontId="13" fillId="0" borderId="7" xfId="0" applyNumberFormat="1" applyFont="1" applyBorder="1" applyAlignment="1">
      <alignment horizontal="left" vertical="top"/>
    </xf>
    <xf numFmtId="167" fontId="2" fillId="0" borderId="11" xfId="0" applyNumberFormat="1" applyFont="1" applyBorder="1" applyAlignment="1">
      <alignment horizontal="left" vertical="center"/>
    </xf>
    <xf numFmtId="49" fontId="21" fillId="0" borderId="16" xfId="0" applyNumberFormat="1" applyFont="1" applyBorder="1" applyAlignment="1">
      <alignment horizontal="left"/>
    </xf>
    <xf numFmtId="49" fontId="0" fillId="0" borderId="14" xfId="0" applyNumberFormat="1" applyBorder="1" applyAlignment="1">
      <alignment horizontal="left"/>
    </xf>
    <xf numFmtId="49" fontId="0" fillId="0" borderId="17" xfId="0" applyNumberFormat="1" applyBorder="1" applyAlignment="1">
      <alignment horizontal="left"/>
    </xf>
    <xf numFmtId="49" fontId="3" fillId="0" borderId="2" xfId="1" applyNumberFormat="1" applyBorder="1" applyAlignment="1" applyProtection="1">
      <alignment horizontal="left" vertical="center" wrapText="1"/>
    </xf>
    <xf numFmtId="49" fontId="0" fillId="0" borderId="2" xfId="0" applyNumberFormat="1" applyBorder="1" applyAlignment="1">
      <alignment horizontal="left" vertical="center"/>
    </xf>
    <xf numFmtId="49" fontId="0" fillId="0" borderId="7" xfId="0" applyNumberFormat="1" applyBorder="1" applyAlignment="1">
      <alignment horizontal="left" vertical="center"/>
    </xf>
    <xf numFmtId="49" fontId="11" fillId="0" borderId="2" xfId="0" applyNumberFormat="1" applyFont="1" applyBorder="1" applyAlignment="1">
      <alignment horizontal="left"/>
    </xf>
    <xf numFmtId="49" fontId="11" fillId="0" borderId="7" xfId="0" applyNumberFormat="1" applyFont="1" applyBorder="1" applyAlignment="1">
      <alignment horizontal="left"/>
    </xf>
    <xf numFmtId="49" fontId="2" fillId="0" borderId="13" xfId="0" applyNumberFormat="1" applyFont="1" applyBorder="1" applyAlignment="1">
      <alignment horizontal="left" wrapText="1"/>
    </xf>
    <xf numFmtId="49" fontId="0" fillId="0" borderId="14" xfId="0" applyNumberFormat="1" applyBorder="1" applyAlignment="1">
      <alignment horizontal="left" wrapText="1"/>
    </xf>
    <xf numFmtId="49" fontId="0" fillId="0" borderId="15" xfId="0" applyNumberFormat="1" applyBorder="1" applyAlignment="1">
      <alignment horizontal="left" wrapText="1"/>
    </xf>
    <xf numFmtId="0" fontId="4" fillId="0" borderId="30" xfId="0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49" fontId="2" fillId="0" borderId="8" xfId="0" applyNumberFormat="1" applyFont="1" applyBorder="1" applyAlignment="1">
      <alignment horizontal="left"/>
    </xf>
    <xf numFmtId="49" fontId="2" fillId="0" borderId="9" xfId="0" applyNumberFormat="1" applyFont="1" applyBorder="1" applyAlignment="1">
      <alignment horizontal="left"/>
    </xf>
    <xf numFmtId="49" fontId="0" fillId="0" borderId="4" xfId="0" applyNumberFormat="1" applyBorder="1" applyAlignment="1">
      <alignment horizontal="left"/>
    </xf>
    <xf numFmtId="49" fontId="0" fillId="0" borderId="5" xfId="0" applyNumberFormat="1" applyBorder="1" applyAlignment="1">
      <alignment horizontal="left"/>
    </xf>
    <xf numFmtId="49" fontId="2" fillId="0" borderId="6" xfId="0" applyNumberFormat="1" applyFont="1" applyBorder="1" applyAlignment="1">
      <alignment horizontal="left" vertical="center"/>
    </xf>
    <xf numFmtId="49" fontId="2" fillId="0" borderId="2" xfId="0" applyNumberFormat="1" applyFont="1" applyBorder="1" applyAlignment="1">
      <alignment horizontal="left" vertical="center"/>
    </xf>
    <xf numFmtId="49" fontId="3" fillId="0" borderId="9" xfId="1" applyNumberFormat="1" applyBorder="1" applyAlignment="1" applyProtection="1">
      <alignment horizontal="left"/>
    </xf>
    <xf numFmtId="49" fontId="0" fillId="0" borderId="9" xfId="0" applyNumberFormat="1" applyBorder="1" applyAlignment="1">
      <alignment horizontal="left"/>
    </xf>
    <xf numFmtId="49" fontId="0" fillId="0" borderId="10" xfId="0" applyNumberFormat="1" applyBorder="1" applyAlignment="1">
      <alignment horizontal="left"/>
    </xf>
    <xf numFmtId="166" fontId="20" fillId="0" borderId="21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0" fillId="0" borderId="19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7" xfId="0" applyBorder="1" applyAlignment="1">
      <alignment horizontal="center"/>
    </xf>
    <xf numFmtId="167" fontId="6" fillId="0" borderId="16" xfId="0" applyNumberFormat="1" applyFont="1" applyBorder="1" applyAlignment="1">
      <alignment horizontal="center" vertical="center" wrapText="1"/>
    </xf>
    <xf numFmtId="166" fontId="6" fillId="0" borderId="1" xfId="0" applyNumberFormat="1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top" wrapText="1"/>
    </xf>
    <xf numFmtId="0" fontId="14" fillId="0" borderId="5" xfId="0" applyFont="1" applyBorder="1" applyAlignment="1">
      <alignment horizontal="center" vertical="top" wrapText="1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 vertical="center" wrapText="1"/>
    </xf>
    <xf numFmtId="166" fontId="14" fillId="0" borderId="5" xfId="0" applyNumberFormat="1" applyFont="1" applyBorder="1" applyAlignment="1">
      <alignment horizontal="center" vertical="top" wrapText="1"/>
    </xf>
    <xf numFmtId="166" fontId="6" fillId="0" borderId="10" xfId="0" applyNumberFormat="1" applyFont="1" applyBorder="1" applyAlignment="1">
      <alignment horizontal="center" vertical="center" wrapText="1"/>
    </xf>
    <xf numFmtId="0" fontId="15" fillId="0" borderId="0" xfId="0" applyFont="1" applyBorder="1"/>
    <xf numFmtId="0" fontId="15" fillId="0" borderId="0" xfId="0" applyFont="1" applyBorder="1" applyAlignment="1">
      <alignment horizontal="center" vertical="center" wrapText="1"/>
    </xf>
    <xf numFmtId="166" fontId="14" fillId="0" borderId="0" xfId="0" applyNumberFormat="1" applyFont="1" applyBorder="1" applyAlignment="1">
      <alignment vertical="top" wrapText="1"/>
    </xf>
    <xf numFmtId="166" fontId="6" fillId="0" borderId="0" xfId="0" applyNumberFormat="1" applyFont="1" applyBorder="1" applyAlignment="1">
      <alignment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9" fillId="0" borderId="35" xfId="0" applyFont="1" applyBorder="1" applyAlignment="1">
      <alignment horizontal="right" vertical="center"/>
    </xf>
    <xf numFmtId="0" fontId="19" fillId="0" borderId="36" xfId="0" applyFont="1" applyBorder="1" applyAlignment="1">
      <alignment horizontal="right" vertical="center"/>
    </xf>
    <xf numFmtId="0" fontId="19" fillId="0" borderId="37" xfId="0" applyFont="1" applyBorder="1" applyAlignment="1">
      <alignment horizontal="right" vertical="center"/>
    </xf>
    <xf numFmtId="166" fontId="20" fillId="0" borderId="0" xfId="0" applyNumberFormat="1" applyFont="1" applyBorder="1" applyAlignment="1">
      <alignment horizontal="center" vertical="center" wrapText="1"/>
    </xf>
    <xf numFmtId="0" fontId="0" fillId="0" borderId="0" xfId="0" applyBorder="1"/>
    <xf numFmtId="166" fontId="0" fillId="0" borderId="0" xfId="0" applyNumberFormat="1" applyBorder="1"/>
    <xf numFmtId="0" fontId="0" fillId="0" borderId="0" xfId="0" applyBorder="1" applyAlignment="1">
      <alignment horizontal="center"/>
    </xf>
    <xf numFmtId="171" fontId="6" fillId="0" borderId="15" xfId="0" applyNumberFormat="1" applyFont="1" applyBorder="1" applyAlignment="1">
      <alignment horizontal="center" vertical="center" wrapText="1"/>
    </xf>
    <xf numFmtId="171" fontId="10" fillId="0" borderId="2" xfId="0" applyNumberFormat="1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66" fontId="6" fillId="0" borderId="29" xfId="0" applyNumberFormat="1" applyFont="1" applyBorder="1" applyAlignment="1">
      <alignment horizontal="center" vertical="center" wrapText="1"/>
    </xf>
    <xf numFmtId="166" fontId="6" fillId="0" borderId="27" xfId="0" applyNumberFormat="1" applyFont="1" applyBorder="1" applyAlignment="1">
      <alignment horizontal="center" vertical="center" wrapText="1"/>
    </xf>
    <xf numFmtId="0" fontId="14" fillId="0" borderId="38" xfId="0" applyFont="1" applyBorder="1" applyAlignment="1">
      <alignment horizontal="center" vertical="top" wrapText="1"/>
    </xf>
    <xf numFmtId="0" fontId="14" fillId="0" borderId="39" xfId="0" applyFont="1" applyBorder="1" applyAlignment="1">
      <alignment horizontal="center" vertical="top" wrapText="1"/>
    </xf>
    <xf numFmtId="0" fontId="14" fillId="0" borderId="40" xfId="0" applyFont="1" applyBorder="1" applyAlignment="1">
      <alignment horizontal="center" vertical="top" wrapText="1"/>
    </xf>
    <xf numFmtId="168" fontId="14" fillId="0" borderId="4" xfId="0" applyNumberFormat="1" applyFont="1" applyBorder="1" applyAlignment="1">
      <alignment horizontal="center" vertical="top" wrapText="1"/>
    </xf>
    <xf numFmtId="0" fontId="15" fillId="0" borderId="8" xfId="0" applyFont="1" applyBorder="1" applyAlignment="1">
      <alignment horizontal="center" vertical="center"/>
    </xf>
    <xf numFmtId="167" fontId="6" fillId="0" borderId="41" xfId="0" applyNumberFormat="1" applyFont="1" applyBorder="1" applyAlignment="1">
      <alignment horizontal="center" vertical="center" wrapText="1"/>
    </xf>
    <xf numFmtId="171" fontId="6" fillId="0" borderId="42" xfId="0" applyNumberFormat="1" applyFont="1" applyBorder="1" applyAlignment="1">
      <alignment horizontal="center" vertical="center" wrapText="1"/>
    </xf>
    <xf numFmtId="166" fontId="6" fillId="0" borderId="9" xfId="0" applyNumberFormat="1" applyFont="1" applyBorder="1" applyAlignment="1">
      <alignment horizontal="center" vertical="center" wrapText="1"/>
    </xf>
    <xf numFmtId="0" fontId="15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168" fontId="6" fillId="0" borderId="45" xfId="0" applyNumberFormat="1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15" fillId="0" borderId="45" xfId="0" applyFont="1" applyBorder="1" applyAlignment="1">
      <alignment horizontal="center" vertical="center"/>
    </xf>
    <xf numFmtId="166" fontId="6" fillId="0" borderId="46" xfId="0" applyNumberFormat="1" applyFont="1" applyBorder="1" applyAlignment="1">
      <alignment horizontal="center" vertical="center" wrapText="1"/>
    </xf>
    <xf numFmtId="0" fontId="2" fillId="0" borderId="29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 vertical="center" wrapText="1"/>
    </xf>
    <xf numFmtId="0" fontId="2" fillId="0" borderId="26" xfId="0" applyFont="1" applyBorder="1" applyAlignment="1">
      <alignment horizontal="right" vertical="center" wrapText="1"/>
    </xf>
    <xf numFmtId="166" fontId="9" fillId="0" borderId="25" xfId="0" applyNumberFormat="1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 wrapText="1"/>
    </xf>
    <xf numFmtId="0" fontId="6" fillId="0" borderId="39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168" fontId="6" fillId="0" borderId="4" xfId="0" applyNumberFormat="1" applyFont="1" applyBorder="1" applyAlignment="1">
      <alignment horizontal="center" vertical="center" wrapText="1"/>
    </xf>
    <xf numFmtId="171" fontId="15" fillId="0" borderId="4" xfId="0" applyNumberFormat="1" applyFont="1" applyBorder="1" applyAlignment="1">
      <alignment horizontal="center" vertical="center"/>
    </xf>
    <xf numFmtId="166" fontId="6" fillId="0" borderId="39" xfId="0" applyNumberFormat="1" applyFont="1" applyBorder="1" applyAlignment="1">
      <alignment horizontal="center" vertical="center" wrapText="1"/>
    </xf>
    <xf numFmtId="166" fontId="6" fillId="0" borderId="5" xfId="0" applyNumberFormat="1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 vertical="center" wrapText="1"/>
    </xf>
    <xf numFmtId="168" fontId="6" fillId="0" borderId="9" xfId="0" applyNumberFormat="1" applyFont="1" applyBorder="1" applyAlignment="1">
      <alignment horizontal="center" vertical="center" wrapText="1"/>
    </xf>
    <xf numFmtId="171" fontId="15" fillId="0" borderId="9" xfId="0" applyNumberFormat="1" applyFont="1" applyBorder="1" applyAlignment="1">
      <alignment horizontal="center" vertical="center"/>
    </xf>
    <xf numFmtId="166" fontId="6" fillId="0" borderId="36" xfId="0" applyNumberFormat="1" applyFont="1" applyBorder="1" applyAlignment="1">
      <alignment horizontal="center" vertical="center" wrapText="1"/>
    </xf>
    <xf numFmtId="166" fontId="6" fillId="0" borderId="48" xfId="0" applyNumberFormat="1" applyFont="1" applyBorder="1" applyAlignment="1">
      <alignment horizontal="center" vertical="center" wrapText="1"/>
    </xf>
    <xf numFmtId="0" fontId="17" fillId="0" borderId="45" xfId="0" applyFont="1" applyBorder="1" applyAlignment="1">
      <alignment horizontal="left" vertical="top"/>
    </xf>
    <xf numFmtId="0" fontId="17" fillId="0" borderId="45" xfId="0" applyFont="1" applyBorder="1" applyAlignment="1">
      <alignment horizontal="center" vertical="top"/>
    </xf>
    <xf numFmtId="0" fontId="17" fillId="0" borderId="45" xfId="0" applyFont="1" applyBorder="1" applyAlignment="1">
      <alignment horizontal="center" vertical="top" wrapText="1"/>
    </xf>
    <xf numFmtId="166" fontId="15" fillId="0" borderId="45" xfId="0" applyNumberFormat="1" applyFont="1" applyBorder="1" applyAlignment="1">
      <alignment horizontal="center" vertical="center" wrapText="1"/>
    </xf>
    <xf numFmtId="4" fontId="15" fillId="0" borderId="45" xfId="0" applyNumberFormat="1" applyFont="1" applyBorder="1" applyAlignment="1">
      <alignment horizontal="center" vertical="center" wrapText="1"/>
    </xf>
    <xf numFmtId="3" fontId="15" fillId="0" borderId="45" xfId="0" applyNumberFormat="1" applyFont="1" applyBorder="1" applyAlignment="1">
      <alignment horizontal="center" vertical="center" wrapText="1"/>
    </xf>
    <xf numFmtId="166" fontId="15" fillId="0" borderId="49" xfId="0" applyNumberFormat="1" applyFont="1" applyBorder="1" applyAlignment="1">
      <alignment horizontal="center" vertical="center" wrapText="1"/>
    </xf>
    <xf numFmtId="0" fontId="8" fillId="0" borderId="29" xfId="0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0" fontId="8" fillId="0" borderId="26" xfId="0" applyFont="1" applyBorder="1" applyAlignment="1">
      <alignment horizontal="right" vertical="center"/>
    </xf>
    <xf numFmtId="168" fontId="0" fillId="0" borderId="25" xfId="0" applyNumberFormat="1" applyBorder="1"/>
    <xf numFmtId="166" fontId="20" fillId="0" borderId="33" xfId="0" applyNumberFormat="1" applyFont="1" applyBorder="1" applyAlignment="1">
      <alignment horizontal="center" vertical="center" wrapText="1"/>
    </xf>
    <xf numFmtId="166" fontId="20" fillId="0" borderId="11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center" vertical="center" wrapText="1"/>
    </xf>
    <xf numFmtId="0" fontId="10" fillId="0" borderId="40" xfId="0" applyFont="1" applyBorder="1" applyAlignment="1">
      <alignment horizontal="center" vertical="center" wrapText="1"/>
    </xf>
    <xf numFmtId="0" fontId="23" fillId="0" borderId="4" xfId="0" applyNumberFormat="1" applyFont="1" applyBorder="1" applyAlignment="1">
      <alignment horizontal="center" vertical="center" wrapText="1"/>
    </xf>
    <xf numFmtId="171" fontId="10" fillId="0" borderId="4" xfId="0" applyNumberFormat="1" applyFont="1" applyBorder="1" applyAlignment="1">
      <alignment horizontal="center" vertical="center" wrapText="1"/>
    </xf>
    <xf numFmtId="166" fontId="24" fillId="0" borderId="4" xfId="0" applyNumberFormat="1" applyFont="1" applyBorder="1" applyAlignment="1">
      <alignment vertical="center" wrapText="1"/>
    </xf>
    <xf numFmtId="166" fontId="10" fillId="0" borderId="5" xfId="0" applyNumberFormat="1" applyFont="1" applyBorder="1" applyAlignment="1">
      <alignment horizontal="center" vertical="center" wrapText="1"/>
    </xf>
    <xf numFmtId="166" fontId="20" fillId="0" borderId="18" xfId="0" applyNumberFormat="1" applyFont="1" applyBorder="1" applyAlignment="1">
      <alignment horizontal="center" vertical="center" wrapText="1"/>
    </xf>
    <xf numFmtId="166" fontId="20" fillId="0" borderId="12" xfId="0" applyNumberFormat="1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41" xfId="0" applyFont="1" applyBorder="1" applyAlignment="1">
      <alignment horizontal="center" vertical="center" wrapText="1"/>
    </xf>
    <xf numFmtId="0" fontId="10" fillId="0" borderId="42" xfId="0" applyFont="1" applyBorder="1" applyAlignment="1">
      <alignment horizontal="center" vertical="center" wrapText="1"/>
    </xf>
    <xf numFmtId="0" fontId="23" fillId="0" borderId="9" xfId="0" applyNumberFormat="1" applyFont="1" applyBorder="1" applyAlignment="1">
      <alignment horizontal="center" vertical="center" wrapText="1"/>
    </xf>
    <xf numFmtId="171" fontId="10" fillId="0" borderId="9" xfId="0" applyNumberFormat="1" applyFont="1" applyBorder="1" applyAlignment="1">
      <alignment horizontal="center" vertical="center" wrapText="1"/>
    </xf>
    <xf numFmtId="4" fontId="10" fillId="0" borderId="9" xfId="0" applyNumberFormat="1" applyFont="1" applyBorder="1" applyAlignment="1">
      <alignment horizontal="center" vertical="center" wrapText="1"/>
    </xf>
    <xf numFmtId="166" fontId="10" fillId="0" borderId="10" xfId="0" applyNumberFormat="1" applyFont="1" applyBorder="1" applyAlignment="1">
      <alignment horizontal="center" vertical="center" wrapText="1"/>
    </xf>
  </cellXfs>
  <cellStyles count="3">
    <cellStyle name="Currency" xfId="2" builtinId="4"/>
    <cellStyle name="Hyperlink" xfId="1" builtinId="8"/>
    <cellStyle name="Normal" xfId="0" builtinId="0"/>
  </cellStyles>
  <dxfs count="0"/>
  <tableStyles count="0" defaultTableStyle="TableStyleMedium9" defaultPivotStyle="PivotStyleLight16"/>
  <colors>
    <mruColors>
      <color rgb="FF0033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97291</xdr:colOff>
      <xdr:row>43</xdr:row>
      <xdr:rowOff>46377</xdr:rowOff>
    </xdr:from>
    <xdr:to>
      <xdr:col>1</xdr:col>
      <xdr:colOff>297656</xdr:colOff>
      <xdr:row>43</xdr:row>
      <xdr:rowOff>639103</xdr:rowOff>
    </xdr:to>
    <xdr:pic>
      <xdr:nvPicPr>
        <xdr:cNvPr id="1029" name="Picture 2" descr="RA Logo">
          <a:extLs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99CCCC"/>
            </a:clrFrom>
            <a:clrTo>
              <a:srgbClr val="99CCCC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97291" y="9732962"/>
          <a:ext cx="549048" cy="5927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0</xdr:col>
      <xdr:colOff>73706</xdr:colOff>
      <xdr:row>0</xdr:row>
      <xdr:rowOff>28348</xdr:rowOff>
    </xdr:from>
    <xdr:to>
      <xdr:col>1</xdr:col>
      <xdr:colOff>935492</xdr:colOff>
      <xdr:row>0</xdr:row>
      <xdr:rowOff>1207634</xdr:rowOff>
    </xdr:to>
    <xdr:pic>
      <xdr:nvPicPr>
        <xdr:cNvPr id="1031" name="Picture 7" descr="RA Logo"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99CCCC"/>
            </a:clrFrom>
            <a:clrTo>
              <a:srgbClr val="99CCCC">
                <a:alpha val="0"/>
              </a:srgbClr>
            </a:clrTo>
          </a:clrChange>
        </a:blip>
        <a:srcRect/>
        <a:stretch>
          <a:fillRect/>
        </a:stretch>
      </xdr:blipFill>
      <xdr:spPr bwMode="auto">
        <a:xfrm>
          <a:off x="73706" y="28348"/>
          <a:ext cx="1213304" cy="1179286"/>
        </a:xfrm>
        <a:prstGeom prst="rect">
          <a:avLst/>
        </a:prstGeom>
        <a:noFill/>
      </xdr:spPr>
    </xdr:pic>
    <xdr:clientData/>
  </xdr:twoCellAnchor>
  <xdr:twoCellAnchor editAs="oneCell">
    <xdr:from>
      <xdr:col>6</xdr:col>
      <xdr:colOff>685687</xdr:colOff>
      <xdr:row>0</xdr:row>
      <xdr:rowOff>198437</xdr:rowOff>
    </xdr:from>
    <xdr:to>
      <xdr:col>8</xdr:col>
      <xdr:colOff>463806</xdr:colOff>
      <xdr:row>0</xdr:row>
      <xdr:rowOff>1222935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E5DF123-D72A-4963-B879-7AE42854E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15062" y="198437"/>
          <a:ext cx="1240887" cy="1024498"/>
        </a:xfrm>
        <a:prstGeom prst="rect">
          <a:avLst/>
        </a:prstGeom>
      </xdr:spPr>
    </xdr:pic>
    <xdr:clientData/>
  </xdr:twoCellAnchor>
  <xdr:twoCellAnchor editAs="oneCell">
    <xdr:from>
      <xdr:col>8</xdr:col>
      <xdr:colOff>98880</xdr:colOff>
      <xdr:row>43</xdr:row>
      <xdr:rowOff>32945</xdr:rowOff>
    </xdr:from>
    <xdr:to>
      <xdr:col>9</xdr:col>
      <xdr:colOff>2211</xdr:colOff>
      <xdr:row>43</xdr:row>
      <xdr:rowOff>659475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CBF619D-EC1A-1F7B-B82D-0F2797AF80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02161" y="9719530"/>
          <a:ext cx="631540" cy="6297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race@doornplaat.com" TargetMode="External"/><Relationship Id="rId1" Type="http://schemas.openxmlformats.org/officeDocument/2006/relationships/hyperlink" Target="mailto:training@rmaa.co.za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44"/>
  <sheetViews>
    <sheetView tabSelected="1" topLeftCell="A20" zoomScale="112" zoomScaleNormal="112" workbookViewId="0">
      <selection activeCell="J10" sqref="J10"/>
    </sheetView>
  </sheetViews>
  <sheetFormatPr defaultRowHeight="15" x14ac:dyDescent="0.25"/>
  <cols>
    <col min="1" max="1" width="5" customWidth="1"/>
    <col min="2" max="3" width="21.5703125" customWidth="1"/>
    <col min="4" max="4" width="17" bestFit="1" customWidth="1"/>
    <col min="5" max="5" width="16.85546875" style="16" customWidth="1"/>
    <col min="6" max="6" width="12.28515625" customWidth="1"/>
    <col min="7" max="8" width="10.5703125" customWidth="1"/>
    <col min="9" max="9" width="11" style="16" bestFit="1" customWidth="1"/>
  </cols>
  <sheetData>
    <row r="1" spans="1:9" ht="119.25" customHeight="1" thickBot="1" x14ac:dyDescent="0.3">
      <c r="A1" s="1"/>
      <c r="B1" s="1"/>
      <c r="C1" s="1"/>
      <c r="D1" s="1"/>
      <c r="E1" s="14"/>
      <c r="F1" s="1"/>
      <c r="G1" s="1"/>
      <c r="H1" s="1"/>
      <c r="I1" s="14"/>
    </row>
    <row r="2" spans="1:9" s="5" customFormat="1" ht="20.25" customHeight="1" thickBot="1" x14ac:dyDescent="0.3">
      <c r="A2" s="42" t="s">
        <v>47</v>
      </c>
      <c r="B2" s="42"/>
      <c r="C2" s="42"/>
      <c r="D2" s="31" t="s">
        <v>35</v>
      </c>
      <c r="E2" s="31"/>
      <c r="F2" s="31"/>
      <c r="G2" s="31"/>
      <c r="H2" s="31"/>
      <c r="I2" s="31"/>
    </row>
    <row r="3" spans="1:9" x14ac:dyDescent="0.25">
      <c r="A3" s="32" t="s">
        <v>0</v>
      </c>
      <c r="B3" s="33"/>
      <c r="C3" s="33"/>
      <c r="D3" s="33" t="s">
        <v>36</v>
      </c>
      <c r="E3" s="33"/>
      <c r="F3" s="33"/>
      <c r="G3" s="33"/>
      <c r="H3" s="33"/>
      <c r="I3" s="36"/>
    </row>
    <row r="4" spans="1:9" x14ac:dyDescent="0.25">
      <c r="A4" s="34" t="s">
        <v>1</v>
      </c>
      <c r="B4" s="35"/>
      <c r="C4" s="35"/>
      <c r="D4" s="37" t="s">
        <v>46</v>
      </c>
      <c r="E4" s="37"/>
      <c r="F4" s="37"/>
      <c r="G4" s="37"/>
      <c r="H4" s="37"/>
      <c r="I4" s="38"/>
    </row>
    <row r="5" spans="1:9" x14ac:dyDescent="0.25">
      <c r="A5" s="34" t="s">
        <v>2</v>
      </c>
      <c r="B5" s="35"/>
      <c r="C5" s="35"/>
      <c r="D5" s="39" t="s">
        <v>37</v>
      </c>
      <c r="E5" s="40"/>
      <c r="F5" s="40"/>
      <c r="G5" s="40"/>
      <c r="H5" s="40"/>
      <c r="I5" s="41"/>
    </row>
    <row r="6" spans="1:9" x14ac:dyDescent="0.25">
      <c r="A6" s="34" t="s">
        <v>3</v>
      </c>
      <c r="B6" s="35"/>
      <c r="C6" s="35"/>
      <c r="D6" s="37" t="s">
        <v>38</v>
      </c>
      <c r="E6" s="37"/>
      <c r="F6" s="37"/>
      <c r="G6" s="37"/>
      <c r="H6" s="37"/>
      <c r="I6" s="38"/>
    </row>
    <row r="7" spans="1:9" x14ac:dyDescent="0.25">
      <c r="A7" s="51" t="s">
        <v>16</v>
      </c>
      <c r="B7" s="52"/>
      <c r="C7" s="53"/>
      <c r="D7" s="43" t="s">
        <v>39</v>
      </c>
      <c r="E7" s="44"/>
      <c r="F7" s="44"/>
      <c r="G7" s="44"/>
      <c r="H7" s="44"/>
      <c r="I7" s="45"/>
    </row>
    <row r="8" spans="1:9" ht="14.45" hidden="1" customHeight="1" x14ac:dyDescent="0.25">
      <c r="A8" s="34" t="s">
        <v>4</v>
      </c>
      <c r="B8" s="35"/>
      <c r="C8" s="35"/>
      <c r="D8" s="37"/>
      <c r="E8" s="37"/>
      <c r="F8" s="37"/>
      <c r="G8" s="37"/>
      <c r="H8" s="37"/>
      <c r="I8" s="38"/>
    </row>
    <row r="9" spans="1:9" x14ac:dyDescent="0.25">
      <c r="A9" s="34" t="s">
        <v>5</v>
      </c>
      <c r="B9" s="35"/>
      <c r="C9" s="35"/>
      <c r="D9" s="49" t="s">
        <v>40</v>
      </c>
      <c r="E9" s="49"/>
      <c r="F9" s="49"/>
      <c r="G9" s="49"/>
      <c r="H9" s="49"/>
      <c r="I9" s="50"/>
    </row>
    <row r="10" spans="1:9" x14ac:dyDescent="0.25">
      <c r="A10" s="34" t="s">
        <v>6</v>
      </c>
      <c r="B10" s="35"/>
      <c r="C10" s="35"/>
      <c r="D10" s="49" t="s">
        <v>41</v>
      </c>
      <c r="E10" s="49"/>
      <c r="F10" s="49"/>
      <c r="G10" s="49"/>
      <c r="H10" s="49"/>
      <c r="I10" s="50"/>
    </row>
    <row r="11" spans="1:9" hidden="1" x14ac:dyDescent="0.25">
      <c r="A11" s="34" t="s">
        <v>7</v>
      </c>
      <c r="B11" s="35"/>
      <c r="C11" s="35"/>
      <c r="D11" s="49"/>
      <c r="E11" s="49"/>
      <c r="F11" s="49"/>
      <c r="G11" s="49"/>
      <c r="H11" s="49"/>
      <c r="I11" s="50"/>
    </row>
    <row r="12" spans="1:9" x14ac:dyDescent="0.25">
      <c r="A12" s="34" t="s">
        <v>8</v>
      </c>
      <c r="B12" s="35"/>
      <c r="C12" s="35"/>
      <c r="D12" s="49" t="s">
        <v>42</v>
      </c>
      <c r="E12" s="49"/>
      <c r="F12" s="49"/>
      <c r="G12" s="49"/>
      <c r="H12" s="49"/>
      <c r="I12" s="50"/>
    </row>
    <row r="13" spans="1:9" ht="14.45" customHeight="1" x14ac:dyDescent="0.25">
      <c r="A13" s="61" t="s">
        <v>9</v>
      </c>
      <c r="B13" s="62"/>
      <c r="C13" s="62"/>
      <c r="D13" s="46" t="s">
        <v>43</v>
      </c>
      <c r="E13" s="47"/>
      <c r="F13" s="47"/>
      <c r="G13" s="47"/>
      <c r="H13" s="47"/>
      <c r="I13" s="48"/>
    </row>
    <row r="14" spans="1:9" x14ac:dyDescent="0.25">
      <c r="A14" s="34" t="s">
        <v>10</v>
      </c>
      <c r="B14" s="35"/>
      <c r="C14" s="35"/>
      <c r="D14" s="37" t="s">
        <v>44</v>
      </c>
      <c r="E14" s="37"/>
      <c r="F14" s="37"/>
      <c r="G14" s="37"/>
      <c r="H14" s="37"/>
      <c r="I14" s="38"/>
    </row>
    <row r="15" spans="1:9" ht="15" customHeight="1" thickBot="1" x14ac:dyDescent="0.3">
      <c r="A15" s="57" t="s">
        <v>11</v>
      </c>
      <c r="B15" s="58"/>
      <c r="C15" s="58"/>
      <c r="D15" s="29" t="s">
        <v>45</v>
      </c>
      <c r="E15" s="29"/>
      <c r="F15" s="29"/>
      <c r="G15" s="29"/>
      <c r="H15" s="29"/>
      <c r="I15" s="30"/>
    </row>
    <row r="16" spans="1:9" x14ac:dyDescent="0.25">
      <c r="A16" s="32" t="s">
        <v>12</v>
      </c>
      <c r="B16" s="33"/>
      <c r="C16" s="33"/>
      <c r="D16" s="59" t="s">
        <v>29</v>
      </c>
      <c r="E16" s="59"/>
      <c r="F16" s="59"/>
      <c r="G16" s="59"/>
      <c r="H16" s="59"/>
      <c r="I16" s="60"/>
    </row>
    <row r="17" spans="1:11" x14ac:dyDescent="0.25">
      <c r="A17" s="34" t="s">
        <v>6</v>
      </c>
      <c r="B17" s="35"/>
      <c r="C17" s="35"/>
      <c r="D17" s="37" t="s">
        <v>21</v>
      </c>
      <c r="E17" s="37"/>
      <c r="F17" s="37"/>
      <c r="G17" s="37"/>
      <c r="H17" s="37"/>
      <c r="I17" s="38"/>
    </row>
    <row r="18" spans="1:11" x14ac:dyDescent="0.25">
      <c r="A18" s="34" t="s">
        <v>8</v>
      </c>
      <c r="B18" s="35"/>
      <c r="C18" s="35"/>
      <c r="D18" s="37" t="s">
        <v>23</v>
      </c>
      <c r="E18" s="37"/>
      <c r="F18" s="37"/>
      <c r="G18" s="37"/>
      <c r="H18" s="37"/>
      <c r="I18" s="38"/>
    </row>
    <row r="19" spans="1:11" ht="15.75" thickBot="1" x14ac:dyDescent="0.3">
      <c r="A19" s="57" t="s">
        <v>9</v>
      </c>
      <c r="B19" s="58"/>
      <c r="C19" s="58"/>
      <c r="D19" s="63" t="s">
        <v>24</v>
      </c>
      <c r="E19" s="64"/>
      <c r="F19" s="64"/>
      <c r="G19" s="64"/>
      <c r="H19" s="64"/>
      <c r="I19" s="65"/>
    </row>
    <row r="20" spans="1:11" s="2" customFormat="1" ht="40.5" customHeight="1" thickBot="1" x14ac:dyDescent="0.3">
      <c r="A20" s="54" t="s">
        <v>26</v>
      </c>
      <c r="B20" s="55"/>
      <c r="C20" s="55"/>
      <c r="D20" s="55"/>
      <c r="E20" s="55"/>
      <c r="F20" s="55"/>
      <c r="G20" s="55"/>
      <c r="H20" s="55"/>
      <c r="I20" s="56"/>
    </row>
    <row r="21" spans="1:11" s="6" customFormat="1" ht="54" customHeight="1" x14ac:dyDescent="0.2">
      <c r="A21" s="104" t="s">
        <v>13</v>
      </c>
      <c r="B21" s="105"/>
      <c r="C21" s="74" t="s">
        <v>17</v>
      </c>
      <c r="D21" s="75" t="s">
        <v>48</v>
      </c>
      <c r="E21" s="74" t="s">
        <v>18</v>
      </c>
      <c r="F21" s="75" t="s">
        <v>48</v>
      </c>
      <c r="G21" s="106" t="s">
        <v>32</v>
      </c>
      <c r="H21" s="107" t="s">
        <v>33</v>
      </c>
      <c r="I21" s="82" t="s">
        <v>14</v>
      </c>
      <c r="J21" s="86"/>
      <c r="K21" s="84"/>
    </row>
    <row r="22" spans="1:11" s="6" customFormat="1" ht="25.35" customHeight="1" x14ac:dyDescent="0.2">
      <c r="A22" s="7">
        <v>1</v>
      </c>
      <c r="B22" s="72"/>
      <c r="C22" s="76"/>
      <c r="D22" s="77"/>
      <c r="E22" s="78"/>
      <c r="F22" s="27"/>
      <c r="G22" s="98"/>
      <c r="H22" s="28"/>
      <c r="I22" s="27">
        <f>SUM(F22+(G22*5.5)+H22)</f>
        <v>0</v>
      </c>
      <c r="J22" s="87"/>
      <c r="K22" s="10"/>
    </row>
    <row r="23" spans="1:11" s="6" customFormat="1" ht="21.6" customHeight="1" x14ac:dyDescent="0.2">
      <c r="A23" s="7">
        <v>2</v>
      </c>
      <c r="B23" s="72"/>
      <c r="C23" s="78"/>
      <c r="D23" s="79"/>
      <c r="E23" s="78"/>
      <c r="F23" s="27"/>
      <c r="G23" s="98"/>
      <c r="H23" s="28"/>
      <c r="I23" s="27">
        <f>SUM(F23+(G23*5.5)+H23)</f>
        <v>0</v>
      </c>
      <c r="J23" s="87"/>
      <c r="K23" s="10"/>
    </row>
    <row r="24" spans="1:11" s="6" customFormat="1" ht="21.6" customHeight="1" x14ac:dyDescent="0.2">
      <c r="A24" s="7">
        <v>3</v>
      </c>
      <c r="B24" s="72"/>
      <c r="C24" s="78"/>
      <c r="D24" s="79"/>
      <c r="E24" s="78"/>
      <c r="F24" s="27"/>
      <c r="G24" s="98"/>
      <c r="H24" s="28"/>
      <c r="I24" s="27">
        <f>SUM(F24+(G24*5.5)+H24)</f>
        <v>0</v>
      </c>
      <c r="J24" s="87"/>
      <c r="K24" s="10"/>
    </row>
    <row r="25" spans="1:11" s="6" customFormat="1" ht="21.6" customHeight="1" x14ac:dyDescent="0.2">
      <c r="A25" s="7">
        <v>4</v>
      </c>
      <c r="B25" s="72"/>
      <c r="C25" s="78"/>
      <c r="D25" s="79"/>
      <c r="E25" s="78"/>
      <c r="F25" s="27"/>
      <c r="G25" s="98"/>
      <c r="H25" s="28"/>
      <c r="I25" s="27">
        <f>SUM(F25+(G25*5.5)+H25)</f>
        <v>0</v>
      </c>
      <c r="J25" s="87"/>
      <c r="K25" s="10"/>
    </row>
    <row r="26" spans="1:11" s="6" customFormat="1" ht="21.6" customHeight="1" thickBot="1" x14ac:dyDescent="0.25">
      <c r="A26" s="108">
        <v>5</v>
      </c>
      <c r="B26" s="109"/>
      <c r="C26" s="80"/>
      <c r="D26" s="81"/>
      <c r="E26" s="80"/>
      <c r="F26" s="83"/>
      <c r="G26" s="110"/>
      <c r="H26" s="111"/>
      <c r="I26" s="83">
        <f>SUM(F26+(G26*5.5)+H26)</f>
        <v>0</v>
      </c>
      <c r="J26" s="87"/>
      <c r="K26" s="85"/>
    </row>
    <row r="27" spans="1:11" s="6" customFormat="1" ht="14.45" customHeight="1" thickBot="1" x14ac:dyDescent="0.25">
      <c r="A27" s="102"/>
      <c r="B27" s="73"/>
      <c r="C27" s="73"/>
      <c r="D27" s="73"/>
      <c r="E27" s="73"/>
      <c r="F27" s="73"/>
      <c r="G27" s="73"/>
      <c r="H27" s="73"/>
      <c r="I27" s="103"/>
      <c r="K27" s="10"/>
    </row>
    <row r="28" spans="1:11" s="6" customFormat="1" ht="21.6" hidden="1" customHeight="1" x14ac:dyDescent="0.2">
      <c r="A28" s="112">
        <v>4</v>
      </c>
      <c r="B28" s="113" t="s">
        <v>31</v>
      </c>
      <c r="C28" s="114"/>
      <c r="D28" s="115"/>
      <c r="E28" s="116"/>
      <c r="F28" s="117"/>
      <c r="G28" s="118" t="str">
        <f>F28&amp;"km"</f>
        <v>km</v>
      </c>
      <c r="H28" s="117"/>
      <c r="I28" s="119">
        <f>SUM(E28+(F28*5.5)+H28)</f>
        <v>0</v>
      </c>
      <c r="K28" s="10"/>
    </row>
    <row r="29" spans="1:11" s="6" customFormat="1" ht="20.45" customHeight="1" x14ac:dyDescent="0.2">
      <c r="A29" s="124">
        <v>4</v>
      </c>
      <c r="B29" s="125" t="s">
        <v>28</v>
      </c>
      <c r="C29" s="126"/>
      <c r="D29" s="126"/>
      <c r="E29" s="127"/>
      <c r="F29" s="128"/>
      <c r="G29" s="129"/>
      <c r="H29" s="130"/>
      <c r="I29" s="131">
        <f>SUM(F29+(G29*5.5)+H29)</f>
        <v>0</v>
      </c>
      <c r="K29" s="10"/>
    </row>
    <row r="30" spans="1:11" s="6" customFormat="1" ht="19.350000000000001" customHeight="1" thickBot="1" x14ac:dyDescent="0.25">
      <c r="A30" s="108">
        <v>5</v>
      </c>
      <c r="B30" s="132" t="s">
        <v>30</v>
      </c>
      <c r="C30" s="133"/>
      <c r="D30" s="133"/>
      <c r="E30" s="134"/>
      <c r="F30" s="135"/>
      <c r="G30" s="136"/>
      <c r="H30" s="137"/>
      <c r="I30" s="138">
        <f>SUM(F30+(G30*5.5)+H30)</f>
        <v>0</v>
      </c>
      <c r="K30" s="10"/>
    </row>
    <row r="31" spans="1:11" s="6" customFormat="1" ht="30" customHeight="1" thickBot="1" x14ac:dyDescent="0.25">
      <c r="A31" s="120" t="s">
        <v>25</v>
      </c>
      <c r="B31" s="121"/>
      <c r="C31" s="121"/>
      <c r="D31" s="121"/>
      <c r="E31" s="121"/>
      <c r="F31" s="121"/>
      <c r="G31" s="121"/>
      <c r="H31" s="122"/>
      <c r="I31" s="123">
        <f>SUM(I22:I30)</f>
        <v>0</v>
      </c>
      <c r="K31" s="10"/>
    </row>
    <row r="32" spans="1:11" s="6" customFormat="1" ht="30" hidden="1" customHeight="1" x14ac:dyDescent="0.2">
      <c r="A32" s="7"/>
      <c r="B32" s="11"/>
      <c r="C32" s="13"/>
      <c r="D32" s="12"/>
      <c r="E32" s="15"/>
      <c r="F32" s="8"/>
      <c r="G32" s="8"/>
      <c r="H32" s="9"/>
      <c r="I32" s="17"/>
      <c r="K32" s="10"/>
    </row>
    <row r="33" spans="1:27" s="6" customFormat="1" ht="30" hidden="1" customHeight="1" x14ac:dyDescent="0.2">
      <c r="A33" s="112"/>
      <c r="B33" s="139"/>
      <c r="C33" s="140"/>
      <c r="D33" s="141"/>
      <c r="E33" s="142"/>
      <c r="F33" s="143"/>
      <c r="G33" s="143"/>
      <c r="H33" s="144"/>
      <c r="I33" s="145"/>
      <c r="K33" s="10"/>
    </row>
    <row r="34" spans="1:27" s="20" customFormat="1" ht="16.5" customHeight="1" x14ac:dyDescent="0.25">
      <c r="A34" s="150" t="s">
        <v>34</v>
      </c>
      <c r="B34" s="151"/>
      <c r="C34" s="152" t="s">
        <v>49</v>
      </c>
      <c r="D34" s="153"/>
      <c r="E34" s="154"/>
      <c r="F34" s="155"/>
      <c r="G34" s="156"/>
      <c r="H34" s="157"/>
      <c r="I34" s="158">
        <f>SUM(F34+(G34*5.5)+H34)</f>
        <v>0</v>
      </c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</row>
    <row r="35" spans="1:27" x14ac:dyDescent="0.25">
      <c r="A35" s="66"/>
      <c r="B35" s="94"/>
      <c r="C35" s="3" t="s">
        <v>49</v>
      </c>
      <c r="D35" s="100"/>
      <c r="E35" s="101"/>
      <c r="F35" s="26"/>
      <c r="G35" s="99"/>
      <c r="H35" s="4"/>
      <c r="I35" s="18">
        <f t="shared" ref="I35:I37" si="0">SUM(F35+(G35*5.5)+H35)</f>
        <v>0</v>
      </c>
    </row>
    <row r="36" spans="1:27" x14ac:dyDescent="0.25">
      <c r="A36" s="66"/>
      <c r="B36" s="94"/>
      <c r="C36" s="3" t="s">
        <v>49</v>
      </c>
      <c r="D36" s="100"/>
      <c r="E36" s="101"/>
      <c r="F36" s="26"/>
      <c r="G36" s="99"/>
      <c r="H36" s="25"/>
      <c r="I36" s="18">
        <f t="shared" si="0"/>
        <v>0</v>
      </c>
    </row>
    <row r="37" spans="1:27" ht="15.75" thickBot="1" x14ac:dyDescent="0.3">
      <c r="A37" s="159"/>
      <c r="B37" s="160"/>
      <c r="C37" s="161" t="s">
        <v>49</v>
      </c>
      <c r="D37" s="162"/>
      <c r="E37" s="163"/>
      <c r="F37" s="164"/>
      <c r="G37" s="165"/>
      <c r="H37" s="166"/>
      <c r="I37" s="167">
        <f t="shared" si="0"/>
        <v>0</v>
      </c>
    </row>
    <row r="38" spans="1:27" s="5" customFormat="1" ht="22.5" customHeight="1" x14ac:dyDescent="0.25">
      <c r="A38" s="146" t="s">
        <v>22</v>
      </c>
      <c r="B38" s="147"/>
      <c r="C38" s="147"/>
      <c r="D38" s="147"/>
      <c r="E38" s="147"/>
      <c r="F38" s="147"/>
      <c r="G38" s="147"/>
      <c r="H38" s="148"/>
      <c r="I38" s="149">
        <f>SUM(I34:I37)</f>
        <v>0</v>
      </c>
    </row>
    <row r="39" spans="1:27" s="5" customFormat="1" ht="19.5" thickBot="1" x14ac:dyDescent="0.3">
      <c r="A39" s="91" t="s">
        <v>20</v>
      </c>
      <c r="B39" s="92"/>
      <c r="C39" s="92"/>
      <c r="D39" s="92"/>
      <c r="E39" s="92"/>
      <c r="F39" s="92"/>
      <c r="G39" s="92"/>
      <c r="H39" s="93"/>
      <c r="I39" s="21">
        <f>I31-I38</f>
        <v>0</v>
      </c>
    </row>
    <row r="40" spans="1:27" ht="23.45" customHeight="1" x14ac:dyDescent="0.25">
      <c r="A40" s="88" t="s">
        <v>27</v>
      </c>
      <c r="B40" s="89"/>
      <c r="C40" s="89"/>
      <c r="D40" s="89"/>
      <c r="E40" s="89"/>
      <c r="F40" s="89"/>
      <c r="G40" s="89"/>
      <c r="H40" s="89"/>
      <c r="I40" s="90"/>
    </row>
    <row r="41" spans="1:27" ht="26.1" customHeight="1" x14ac:dyDescent="0.25">
      <c r="A41" s="22"/>
      <c r="B41" s="70"/>
      <c r="C41" s="70"/>
      <c r="D41" s="95"/>
      <c r="E41" s="96"/>
      <c r="F41" s="95"/>
      <c r="G41" s="95"/>
      <c r="H41" s="70"/>
      <c r="I41" s="71"/>
    </row>
    <row r="42" spans="1:27" x14ac:dyDescent="0.25">
      <c r="A42" s="22"/>
      <c r="B42" s="97" t="s">
        <v>15</v>
      </c>
      <c r="C42" s="97"/>
      <c r="D42" s="95"/>
      <c r="E42" s="96"/>
      <c r="F42" s="95"/>
      <c r="G42" s="95"/>
      <c r="H42" s="68" t="s">
        <v>13</v>
      </c>
      <c r="I42" s="69"/>
    </row>
    <row r="43" spans="1:27" ht="15.75" thickBot="1" x14ac:dyDescent="0.3">
      <c r="A43" s="23"/>
      <c r="B43" s="1"/>
      <c r="C43" s="1"/>
      <c r="D43" s="1"/>
      <c r="E43" s="14"/>
      <c r="F43" s="1"/>
      <c r="G43" s="1"/>
      <c r="H43" s="1"/>
      <c r="I43" s="24"/>
    </row>
    <row r="44" spans="1:27" ht="52.5" customHeight="1" x14ac:dyDescent="0.25">
      <c r="A44" s="67" t="s">
        <v>19</v>
      </c>
      <c r="B44" s="67"/>
      <c r="C44" s="67"/>
      <c r="D44" s="67"/>
      <c r="E44" s="67"/>
      <c r="F44" s="67"/>
      <c r="G44" s="67"/>
      <c r="H44" s="67"/>
      <c r="I44" s="67"/>
    </row>
  </sheetData>
  <mergeCells count="55">
    <mergeCell ref="A44:I44"/>
    <mergeCell ref="A34:B37"/>
    <mergeCell ref="B29:E29"/>
    <mergeCell ref="B30:E30"/>
    <mergeCell ref="D34:E34"/>
    <mergeCell ref="D35:E35"/>
    <mergeCell ref="D36:E36"/>
    <mergeCell ref="D37:E37"/>
    <mergeCell ref="A21:B21"/>
    <mergeCell ref="A27:I27"/>
    <mergeCell ref="B28:D28"/>
    <mergeCell ref="A38:H38"/>
    <mergeCell ref="A39:H39"/>
    <mergeCell ref="A40:I40"/>
    <mergeCell ref="H42:I42"/>
    <mergeCell ref="B41:C41"/>
    <mergeCell ref="H41:I41"/>
    <mergeCell ref="A31:H31"/>
    <mergeCell ref="A2:C2"/>
    <mergeCell ref="A14:C14"/>
    <mergeCell ref="D8:I8"/>
    <mergeCell ref="D7:I7"/>
    <mergeCell ref="D13:I13"/>
    <mergeCell ref="D14:I14"/>
    <mergeCell ref="D11:I11"/>
    <mergeCell ref="D12:I12"/>
    <mergeCell ref="A9:C9"/>
    <mergeCell ref="A10:C10"/>
    <mergeCell ref="A11:C11"/>
    <mergeCell ref="A8:C8"/>
    <mergeCell ref="A7:C7"/>
    <mergeCell ref="A12:C12"/>
    <mergeCell ref="A13:C13"/>
    <mergeCell ref="D9:I9"/>
    <mergeCell ref="A3:C3"/>
    <mergeCell ref="A4:C4"/>
    <mergeCell ref="A5:C5"/>
    <mergeCell ref="A6:C6"/>
    <mergeCell ref="D3:I3"/>
    <mergeCell ref="D4:I4"/>
    <mergeCell ref="D5:I5"/>
    <mergeCell ref="D6:I6"/>
    <mergeCell ref="D15:I15"/>
    <mergeCell ref="D2:I2"/>
    <mergeCell ref="A20:I20"/>
    <mergeCell ref="A16:C16"/>
    <mergeCell ref="A17:C17"/>
    <mergeCell ref="A18:C18"/>
    <mergeCell ref="A19:C19"/>
    <mergeCell ref="D16:I16"/>
    <mergeCell ref="D17:I17"/>
    <mergeCell ref="D18:I18"/>
    <mergeCell ref="D19:I19"/>
    <mergeCell ref="A15:C15"/>
    <mergeCell ref="D10:I10"/>
  </mergeCells>
  <phoneticPr fontId="22" type="noConversion"/>
  <hyperlinks>
    <hyperlink ref="D19" r:id="rId1" xr:uid="{00000000-0004-0000-0000-000000000000}"/>
    <hyperlink ref="D13" r:id="rId2" xr:uid="{CC7D57C1-BA20-4CEB-B9D1-C748B97D5C0D}"/>
  </hyperlinks>
  <pageMargins left="0.70866141732283472" right="0.70866141732283472" top="0.39370078740157483" bottom="0.39370078740157483" header="0.31496062992125984" footer="1.1417322834645669"/>
  <pageSetup paperSize="9" scale="6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Client</dc:creator>
  <cp:lastModifiedBy>Anthony Penzes</cp:lastModifiedBy>
  <cp:lastPrinted>2024-11-25T04:43:43Z</cp:lastPrinted>
  <dcterms:created xsi:type="dcterms:W3CDTF">2018-02-01T05:26:32Z</dcterms:created>
  <dcterms:modified xsi:type="dcterms:W3CDTF">2026-04-23T07:34:47Z</dcterms:modified>
</cp:coreProperties>
</file>