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thonyPenzes\Downloads\"/>
    </mc:Choice>
  </mc:AlternateContent>
  <xr:revisionPtr revIDLastSave="0" documentId="13_ncr:1_{9DFF7078-F038-4FC2-AE61-1AE425A557D8}" xr6:coauthVersionLast="47" xr6:coauthVersionMax="47" xr10:uidLastSave="{00000000-0000-0000-0000-000000000000}"/>
  <bookViews>
    <workbookView xWindow="-27195" yWindow="1665" windowWidth="21600" windowHeight="11295" xr2:uid="{00000000-000D-0000-FFFF-FFFF00000000}"/>
  </bookViews>
  <sheets>
    <sheet name="Sheet1" sheetId="1" r:id="rId1"/>
  </sheets>
  <definedNames>
    <definedName name="_xlnm.Print_Area" localSheetId="0">Sheet1!$A$1:$I$42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2" i="1" l="1"/>
  <c r="H23" i="1"/>
  <c r="H24" i="1"/>
  <c r="I28" i="1" l="1"/>
  <c r="I27" i="1"/>
  <c r="I33" i="1"/>
  <c r="I34" i="1"/>
  <c r="I35" i="1"/>
  <c r="I32" i="1"/>
  <c r="I36" i="1" s="1"/>
  <c r="G35" i="1"/>
  <c r="I26" i="1"/>
  <c r="G33" i="1"/>
  <c r="G32" i="1"/>
  <c r="I29" i="1" l="1"/>
  <c r="I37" i="1" s="1"/>
  <c r="G34" i="1"/>
  <c r="G28" i="1"/>
  <c r="G27" i="1"/>
  <c r="G26" i="1"/>
</calcChain>
</file>

<file path=xl/sharedStrings.xml><?xml version="1.0" encoding="utf-8"?>
<sst xmlns="http://schemas.openxmlformats.org/spreadsheetml/2006/main" count="61" uniqueCount="54">
  <si>
    <t>Name of Client:</t>
  </si>
  <si>
    <t>RMAA member:</t>
  </si>
  <si>
    <t>RC:</t>
  </si>
  <si>
    <t>Throughput:</t>
  </si>
  <si>
    <t>Seta:</t>
  </si>
  <si>
    <t>Client Contact:</t>
  </si>
  <si>
    <t>Telephone:</t>
  </si>
  <si>
    <t>Fax:</t>
  </si>
  <si>
    <t>Cell:</t>
  </si>
  <si>
    <t>E-mail:</t>
  </si>
  <si>
    <t>Postal Address:</t>
  </si>
  <si>
    <t>Street Address:</t>
  </si>
  <si>
    <t>RMAA Contact:</t>
  </si>
  <si>
    <t>Date</t>
  </si>
  <si>
    <t>TOTAL R</t>
  </si>
  <si>
    <t>Client</t>
  </si>
  <si>
    <t>VAT Number</t>
  </si>
  <si>
    <t>Skills Programme</t>
  </si>
  <si>
    <t>Slaughter Technique</t>
  </si>
  <si>
    <t xml:space="preserve">Service Cost </t>
  </si>
  <si>
    <t xml:space="preserve">General Manager : Dr GC Neethling
 Red Meat Abattoir Association                                                                     Abattoir Skills Training
</t>
  </si>
  <si>
    <t xml:space="preserve"> TOTAL Excl 15% VAT</t>
  </si>
  <si>
    <t xml:space="preserve">Discounted </t>
  </si>
  <si>
    <t>012 349 1237</t>
  </si>
  <si>
    <t>Discount provided</t>
  </si>
  <si>
    <t>084 047 0001</t>
  </si>
  <si>
    <t>training@rmaa.co.za</t>
  </si>
  <si>
    <t>Sub - total</t>
  </si>
  <si>
    <r>
      <t xml:space="preserve">Notes: </t>
    </r>
    <r>
      <rPr>
        <b/>
        <i/>
        <u/>
        <sz val="11"/>
        <color rgb="FFFF0000"/>
        <rFont val="Calibri"/>
        <family val="2"/>
        <scheme val="minor"/>
      </rPr>
      <t xml:space="preserve">15% VAT EXCLUDED in all cases/ 
</t>
    </r>
    <r>
      <rPr>
        <b/>
        <i/>
        <u/>
        <sz val="14"/>
        <color rgb="FFFF0000"/>
        <rFont val="Calibri"/>
        <family val="2"/>
        <scheme val="minor"/>
      </rPr>
      <t>CERTIFIED ID COPIES(COLOUR) NEEDED FOR ALL TRAINING</t>
    </r>
  </si>
  <si>
    <t>For acceptance of the quote, please sign below and email back the signed copy</t>
  </si>
  <si>
    <t>Sampling</t>
  </si>
  <si>
    <t>Nolwazi Legwabi</t>
  </si>
  <si>
    <t>Audit verification</t>
  </si>
  <si>
    <t>Service cost (PAH,HAW)</t>
  </si>
  <si>
    <r>
      <t xml:space="preserve">Distance </t>
    </r>
    <r>
      <rPr>
        <b/>
        <sz val="12"/>
        <color theme="1"/>
        <rFont val="Arial Narrow"/>
        <family val="2"/>
      </rPr>
      <t>(km)</t>
    </r>
    <r>
      <rPr>
        <b/>
        <sz val="10"/>
        <color theme="1"/>
        <rFont val="Arial Narrow"/>
        <family val="2"/>
      </rPr>
      <t xml:space="preserve">
@ R 5.5 pkm</t>
    </r>
  </si>
  <si>
    <t>Accomm  @ 
R 800 pppn</t>
  </si>
  <si>
    <t>Conducting audit verification &amp; sampling enables us to provide you with a discount.</t>
  </si>
  <si>
    <t>Skills Program</t>
  </si>
  <si>
    <t>Training and Support Services Contract 2026</t>
  </si>
  <si>
    <t xml:space="preserve">Membership </t>
  </si>
  <si>
    <t xml:space="preserve">Verification Audit </t>
  </si>
  <si>
    <t xml:space="preserve">Sampling </t>
  </si>
  <si>
    <t>Doornplaat Abattoir</t>
  </si>
  <si>
    <t>03/12R</t>
  </si>
  <si>
    <t>HT 400</t>
  </si>
  <si>
    <t>4920255173</t>
  </si>
  <si>
    <t>Grace Maluleke</t>
  </si>
  <si>
    <t>012 940 2571</t>
  </si>
  <si>
    <t>082 426 6435</t>
  </si>
  <si>
    <t>grace@doornplaat.com</t>
  </si>
  <si>
    <t>P O Box 20454, Rustenburg, 0305</t>
  </si>
  <si>
    <t>1 Bonsmara Street Brits</t>
  </si>
  <si>
    <t>Yes</t>
  </si>
  <si>
    <t>QUOTATION DATE: 23/02/2026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</si>
</sst>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£&quot;* #,##0.00_-;\-&quot;£&quot;* #,##0.00_-;_-&quot;£&quot;* &quot;-&quot;??_-;_-@_-"/>
    <numFmt numFmtId="165" formatCode="[$-1C09]dd\ mmmm\ yyyy;@"/>
    <numFmt numFmtId="166" formatCode="[$R-1C09]#,##0.00"/>
    <numFmt numFmtId="167" formatCode="[$-F800]dddd\,\ mmmm\ dd\,\ yyyy"/>
    <numFmt numFmtId="168" formatCode="&quot;R&quot;#,##0.00"/>
    <numFmt numFmtId="169" formatCode="_-[$R-1C09]* #,##0.00_-;\-[$R-1C09]* #,##0.00_-;_-[$R-1C09]* &quot;-&quot;??_-;_-@_-"/>
    <numFmt numFmtId="173" formatCode="#,##0\K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i/>
      <u/>
      <sz val="11"/>
      <color rgb="FFFF0000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4" tint="-0.249977111117893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Trebuchet MS"/>
      <family val="2"/>
    </font>
    <font>
      <b/>
      <sz val="11"/>
      <color rgb="FF0033CC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9"/>
      <color theme="1"/>
      <name val="Calibri"/>
      <family val="2"/>
      <scheme val="minor"/>
    </font>
    <font>
      <b/>
      <i/>
      <u/>
      <sz val="14"/>
      <color rgb="FFFF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0033CC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164" fontId="1" fillId="0" borderId="0" applyFont="0" applyFill="0" applyBorder="0" applyAlignment="0" applyProtection="0"/>
  </cellStyleXfs>
  <cellXfs count="133">
    <xf numFmtId="0" fontId="0" fillId="0" borderId="0" xfId="0"/>
    <xf numFmtId="0" fontId="0" fillId="0" borderId="12" xfId="0" applyBorder="1"/>
    <xf numFmtId="0" fontId="0" fillId="0" borderId="0" xfId="0" applyAlignment="1">
      <alignment wrapText="1"/>
    </xf>
    <xf numFmtId="0" fontId="10" fillId="0" borderId="2" xfId="0" applyFont="1" applyBorder="1" applyAlignment="1">
      <alignment horizontal="center" vertical="center" wrapText="1"/>
    </xf>
    <xf numFmtId="4" fontId="10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5" fillId="0" borderId="0" xfId="0" applyFont="1"/>
    <xf numFmtId="0" fontId="15" fillId="0" borderId="6" xfId="0" applyFont="1" applyBorder="1" applyAlignment="1">
      <alignment horizontal="center" vertical="center"/>
    </xf>
    <xf numFmtId="4" fontId="15" fillId="0" borderId="2" xfId="0" applyNumberFormat="1" applyFont="1" applyBorder="1" applyAlignment="1">
      <alignment horizontal="center" vertical="center" wrapText="1"/>
    </xf>
    <xf numFmtId="3" fontId="15" fillId="0" borderId="2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7" fillId="0" borderId="2" xfId="0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top"/>
    </xf>
    <xf numFmtId="0" fontId="17" fillId="0" borderId="2" xfId="0" applyFont="1" applyBorder="1" applyAlignment="1">
      <alignment horizontal="center" vertical="top" wrapText="1"/>
    </xf>
    <xf numFmtId="0" fontId="17" fillId="0" borderId="2" xfId="0" applyFont="1" applyBorder="1" applyAlignment="1">
      <alignment horizontal="center" vertical="top"/>
    </xf>
    <xf numFmtId="3" fontId="10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3" fontId="6" fillId="0" borderId="2" xfId="0" applyNumberFormat="1" applyFont="1" applyBorder="1" applyAlignment="1">
      <alignment horizontal="center" vertical="center" wrapText="1"/>
    </xf>
    <xf numFmtId="166" fontId="0" fillId="0" borderId="12" xfId="0" applyNumberFormat="1" applyBorder="1"/>
    <xf numFmtId="166" fontId="6" fillId="0" borderId="2" xfId="0" applyNumberFormat="1" applyFont="1" applyBorder="1" applyAlignment="1">
      <alignment horizontal="center" vertical="center" wrapText="1"/>
    </xf>
    <xf numFmtId="166" fontId="15" fillId="0" borderId="2" xfId="0" applyNumberFormat="1" applyFont="1" applyBorder="1" applyAlignment="1">
      <alignment horizontal="center" vertical="center" wrapText="1"/>
    </xf>
    <xf numFmtId="166" fontId="10" fillId="0" borderId="2" xfId="0" applyNumberFormat="1" applyFont="1" applyBorder="1" applyAlignment="1">
      <alignment horizontal="center" vertical="center" wrapText="1"/>
    </xf>
    <xf numFmtId="166" fontId="0" fillId="0" borderId="0" xfId="0" applyNumberFormat="1"/>
    <xf numFmtId="166" fontId="15" fillId="0" borderId="7" xfId="0" applyNumberFormat="1" applyFont="1" applyBorder="1" applyAlignment="1">
      <alignment horizontal="center" vertical="center" wrapText="1"/>
    </xf>
    <xf numFmtId="166" fontId="10" fillId="0" borderId="7" xfId="0" applyNumberFormat="1" applyFont="1" applyBorder="1" applyAlignment="1">
      <alignment horizontal="center" vertical="center" wrapText="1"/>
    </xf>
    <xf numFmtId="166" fontId="9" fillId="0" borderId="7" xfId="0" applyNumberFormat="1" applyFont="1" applyBorder="1" applyAlignment="1">
      <alignment horizontal="center" vertical="center" wrapText="1"/>
    </xf>
    <xf numFmtId="166" fontId="6" fillId="0" borderId="14" xfId="0" applyNumberFormat="1" applyFont="1" applyBorder="1" applyAlignment="1">
      <alignment horizontal="center" vertical="center" wrapText="1"/>
    </xf>
    <xf numFmtId="166" fontId="6" fillId="0" borderId="0" xfId="0" applyNumberFormat="1" applyFont="1" applyAlignment="1">
      <alignment vertical="center" wrapText="1"/>
    </xf>
    <xf numFmtId="166" fontId="6" fillId="0" borderId="7" xfId="0" applyNumberFormat="1" applyFont="1" applyBorder="1" applyAlignment="1">
      <alignment vertical="center" wrapText="1"/>
    </xf>
    <xf numFmtId="0" fontId="15" fillId="0" borderId="27" xfId="0" applyFont="1" applyBorder="1" applyAlignment="1">
      <alignment horizontal="center" vertical="center"/>
    </xf>
    <xf numFmtId="169" fontId="6" fillId="0" borderId="25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166" fontId="6" fillId="0" borderId="28" xfId="0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168" fontId="6" fillId="0" borderId="25" xfId="0" applyNumberFormat="1" applyFont="1" applyBorder="1" applyAlignment="1">
      <alignment horizontal="center" vertical="center" wrapText="1"/>
    </xf>
    <xf numFmtId="168" fontId="6" fillId="0" borderId="2" xfId="0" applyNumberFormat="1" applyFont="1" applyBorder="1" applyAlignment="1">
      <alignment horizontal="center" vertical="center" wrapText="1"/>
    </xf>
    <xf numFmtId="168" fontId="6" fillId="0" borderId="2" xfId="0" applyNumberFormat="1" applyFont="1" applyBorder="1" applyAlignment="1">
      <alignment horizontal="center" vertical="center"/>
    </xf>
    <xf numFmtId="168" fontId="0" fillId="0" borderId="7" xfId="0" applyNumberFormat="1" applyBorder="1"/>
    <xf numFmtId="166" fontId="2" fillId="0" borderId="24" xfId="2" applyNumberFormat="1" applyFont="1" applyBorder="1" applyAlignment="1">
      <alignment vertical="center"/>
    </xf>
    <xf numFmtId="0" fontId="0" fillId="0" borderId="21" xfId="0" applyBorder="1"/>
    <xf numFmtId="0" fontId="0" fillId="0" borderId="0" xfId="0" applyAlignment="1">
      <alignment horizontal="center"/>
    </xf>
    <xf numFmtId="0" fontId="0" fillId="0" borderId="18" xfId="0" applyBorder="1"/>
    <xf numFmtId="166" fontId="0" fillId="0" borderId="22" xfId="0" applyNumberFormat="1" applyBorder="1"/>
    <xf numFmtId="0" fontId="15" fillId="0" borderId="2" xfId="0" applyFont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 wrapText="1"/>
    </xf>
    <xf numFmtId="167" fontId="6" fillId="0" borderId="2" xfId="0" applyNumberFormat="1" applyFont="1" applyBorder="1" applyAlignment="1">
      <alignment horizontal="center" vertical="center" wrapText="1"/>
    </xf>
    <xf numFmtId="0" fontId="23" fillId="0" borderId="2" xfId="0" applyNumberFormat="1" applyFont="1" applyBorder="1" applyAlignment="1">
      <alignment horizontal="center" vertical="center" wrapText="1"/>
    </xf>
    <xf numFmtId="166" fontId="24" fillId="0" borderId="2" xfId="0" applyNumberFormat="1" applyFont="1" applyBorder="1" applyAlignment="1">
      <alignment vertical="center" wrapText="1"/>
    </xf>
    <xf numFmtId="166" fontId="20" fillId="0" borderId="32" xfId="0" applyNumberFormat="1" applyFont="1" applyBorder="1" applyAlignment="1">
      <alignment horizontal="center" vertical="center" wrapText="1"/>
    </xf>
    <xf numFmtId="166" fontId="20" fillId="0" borderId="33" xfId="0" applyNumberFormat="1" applyFont="1" applyBorder="1" applyAlignment="1">
      <alignment horizontal="center" vertical="center" wrapText="1"/>
    </xf>
    <xf numFmtId="166" fontId="20" fillId="0" borderId="21" xfId="0" applyNumberFormat="1" applyFont="1" applyBorder="1" applyAlignment="1">
      <alignment horizontal="center" vertical="center" wrapText="1"/>
    </xf>
    <xf numFmtId="166" fontId="20" fillId="0" borderId="34" xfId="0" applyNumberFormat="1" applyFont="1" applyBorder="1" applyAlignment="1">
      <alignment horizontal="center" vertical="center" wrapText="1"/>
    </xf>
    <xf numFmtId="166" fontId="20" fillId="0" borderId="35" xfId="0" applyNumberFormat="1" applyFont="1" applyBorder="1" applyAlignment="1">
      <alignment horizontal="center" vertical="center" wrapText="1"/>
    </xf>
    <xf numFmtId="166" fontId="20" fillId="0" borderId="29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166" fontId="6" fillId="0" borderId="13" xfId="0" applyNumberFormat="1" applyFont="1" applyBorder="1" applyAlignment="1">
      <alignment horizontal="center" vertical="center" wrapText="1"/>
    </xf>
    <xf numFmtId="166" fontId="6" fillId="0" borderId="14" xfId="0" applyNumberFormat="1" applyFont="1" applyBorder="1" applyAlignment="1">
      <alignment horizontal="center" vertical="center" wrapText="1"/>
    </xf>
    <xf numFmtId="166" fontId="6" fillId="0" borderId="17" xfId="0" applyNumberFormat="1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19" fillId="0" borderId="18" xfId="0" applyFont="1" applyBorder="1" applyAlignment="1">
      <alignment horizontal="right" vertical="center"/>
    </xf>
    <xf numFmtId="0" fontId="8" fillId="0" borderId="12" xfId="0" applyFont="1" applyBorder="1" applyAlignment="1">
      <alignment horizontal="right" vertical="center"/>
    </xf>
    <xf numFmtId="0" fontId="12" fillId="0" borderId="2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1" xfId="0" applyBorder="1" applyAlignment="1">
      <alignment horizontal="center"/>
    </xf>
    <xf numFmtId="0" fontId="2" fillId="0" borderId="13" xfId="0" applyFont="1" applyBorder="1" applyAlignment="1">
      <alignment horizontal="right" vertical="center" wrapText="1"/>
    </xf>
    <xf numFmtId="0" fontId="2" fillId="0" borderId="14" xfId="0" applyFont="1" applyBorder="1" applyAlignment="1">
      <alignment horizontal="right" vertical="center" wrapText="1"/>
    </xf>
    <xf numFmtId="0" fontId="2" fillId="0" borderId="15" xfId="0" applyFont="1" applyBorder="1" applyAlignment="1">
      <alignment horizontal="right" vertical="center" wrapText="1"/>
    </xf>
    <xf numFmtId="49" fontId="2" fillId="0" borderId="6" xfId="0" applyNumberFormat="1" applyFont="1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49" fontId="2" fillId="0" borderId="13" xfId="0" applyNumberFormat="1" applyFont="1" applyBorder="1" applyAlignment="1">
      <alignment horizontal="left" wrapText="1"/>
    </xf>
    <xf numFmtId="49" fontId="0" fillId="0" borderId="14" xfId="0" applyNumberFormat="1" applyBorder="1" applyAlignment="1">
      <alignment horizontal="left" wrapText="1"/>
    </xf>
    <xf numFmtId="49" fontId="0" fillId="0" borderId="15" xfId="0" applyNumberFormat="1" applyBorder="1" applyAlignment="1">
      <alignment horizontal="left" wrapText="1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horizontal="left"/>
    </xf>
    <xf numFmtId="49" fontId="2" fillId="0" borderId="9" xfId="0" applyNumberFormat="1" applyFont="1" applyBorder="1" applyAlignment="1">
      <alignment horizontal="left"/>
    </xf>
    <xf numFmtId="49" fontId="0" fillId="0" borderId="4" xfId="0" applyNumberFormat="1" applyBorder="1" applyAlignment="1">
      <alignment horizontal="left"/>
    </xf>
    <xf numFmtId="49" fontId="0" fillId="0" borderId="5" xfId="0" applyNumberFormat="1" applyBorder="1" applyAlignment="1">
      <alignment horizontal="left"/>
    </xf>
    <xf numFmtId="49" fontId="0" fillId="0" borderId="2" xfId="0" applyNumberFormat="1" applyBorder="1" applyAlignment="1">
      <alignment horizontal="left"/>
    </xf>
    <xf numFmtId="49" fontId="0" fillId="0" borderId="7" xfId="0" applyNumberFormat="1" applyBorder="1" applyAlignment="1">
      <alignment horizontal="left"/>
    </xf>
    <xf numFmtId="49" fontId="2" fillId="0" borderId="6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3" fillId="0" borderId="9" xfId="1" applyNumberFormat="1" applyBorder="1" applyAlignment="1" applyProtection="1">
      <alignment horizontal="left"/>
    </xf>
    <xf numFmtId="49" fontId="0" fillId="0" borderId="9" xfId="0" applyNumberFormat="1" applyBorder="1" applyAlignment="1">
      <alignment horizontal="left"/>
    </xf>
    <xf numFmtId="49" fontId="0" fillId="0" borderId="10" xfId="0" applyNumberFormat="1" applyBorder="1" applyAlignment="1">
      <alignment horizontal="left"/>
    </xf>
    <xf numFmtId="49" fontId="11" fillId="0" borderId="2" xfId="0" applyNumberFormat="1" applyFont="1" applyBorder="1" applyAlignment="1">
      <alignment horizontal="left"/>
    </xf>
    <xf numFmtId="49" fontId="11" fillId="0" borderId="7" xfId="0" applyNumberFormat="1" applyFont="1" applyBorder="1" applyAlignment="1">
      <alignment horizontal="left"/>
    </xf>
    <xf numFmtId="49" fontId="11" fillId="0" borderId="9" xfId="0" applyNumberFormat="1" applyFont="1" applyBorder="1" applyAlignment="1">
      <alignment horizontal="left" vertical="top" wrapText="1"/>
    </xf>
    <xf numFmtId="49" fontId="11" fillId="0" borderId="10" xfId="0" applyNumberFormat="1" applyFont="1" applyBorder="1" applyAlignment="1">
      <alignment horizontal="left" vertical="top" wrapText="1"/>
    </xf>
    <xf numFmtId="165" fontId="2" fillId="0" borderId="20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/>
    </xf>
    <xf numFmtId="49" fontId="13" fillId="0" borderId="2" xfId="0" applyNumberFormat="1" applyFont="1" applyBorder="1" applyAlignment="1">
      <alignment horizontal="left" vertical="top" wrapText="1"/>
    </xf>
    <xf numFmtId="49" fontId="13" fillId="0" borderId="2" xfId="0" applyNumberFormat="1" applyFont="1" applyBorder="1" applyAlignment="1">
      <alignment horizontal="left" vertical="top"/>
    </xf>
    <xf numFmtId="49" fontId="13" fillId="0" borderId="7" xfId="0" applyNumberFormat="1" applyFont="1" applyBorder="1" applyAlignment="1">
      <alignment horizontal="left" vertical="top"/>
    </xf>
    <xf numFmtId="167" fontId="2" fillId="0" borderId="11" xfId="0" applyNumberFormat="1" applyFont="1" applyBorder="1" applyAlignment="1">
      <alignment horizontal="left" vertical="center"/>
    </xf>
    <xf numFmtId="49" fontId="21" fillId="0" borderId="16" xfId="0" applyNumberFormat="1" applyFont="1" applyBorder="1" applyAlignment="1">
      <alignment horizontal="left"/>
    </xf>
    <xf numFmtId="49" fontId="0" fillId="0" borderId="14" xfId="0" applyNumberFormat="1" applyBorder="1" applyAlignment="1">
      <alignment horizontal="left"/>
    </xf>
    <xf numFmtId="49" fontId="0" fillId="0" borderId="17" xfId="0" applyNumberFormat="1" applyBorder="1" applyAlignment="1">
      <alignment horizontal="left"/>
    </xf>
    <xf numFmtId="49" fontId="3" fillId="0" borderId="2" xfId="1" applyNumberFormat="1" applyBorder="1" applyAlignment="1" applyProtection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7" xfId="0" applyNumberFormat="1" applyBorder="1" applyAlignment="1">
      <alignment horizontal="left" vertical="center"/>
    </xf>
    <xf numFmtId="173" fontId="6" fillId="0" borderId="2" xfId="0" applyNumberFormat="1" applyFont="1" applyBorder="1" applyAlignment="1">
      <alignment horizontal="center" vertical="center" wrapText="1"/>
    </xf>
    <xf numFmtId="166" fontId="6" fillId="0" borderId="7" xfId="0" applyNumberFormat="1" applyFont="1" applyBorder="1" applyAlignment="1">
      <alignment horizontal="center" vertical="center" wrapText="1"/>
    </xf>
    <xf numFmtId="166" fontId="6" fillId="0" borderId="2" xfId="0" applyNumberFormat="1" applyFont="1" applyBorder="1" applyAlignment="1">
      <alignment horizontal="center" vertical="center" wrapText="1"/>
    </xf>
    <xf numFmtId="0" fontId="14" fillId="0" borderId="35" xfId="0" applyFont="1" applyBorder="1" applyAlignment="1">
      <alignment horizontal="center" vertical="top" wrapText="1"/>
    </xf>
    <xf numFmtId="0" fontId="14" fillId="0" borderId="29" xfId="0" applyFont="1" applyBorder="1" applyAlignment="1">
      <alignment horizontal="center" vertical="top" wrapText="1"/>
    </xf>
    <xf numFmtId="0" fontId="14" fillId="0" borderId="25" xfId="0" applyFont="1" applyBorder="1" applyAlignment="1">
      <alignment horizontal="center" vertical="top" wrapText="1"/>
    </xf>
    <xf numFmtId="166" fontId="14" fillId="0" borderId="25" xfId="0" applyNumberFormat="1" applyFont="1" applyBorder="1" applyAlignment="1">
      <alignment horizontal="center" vertical="top" wrapText="1"/>
    </xf>
    <xf numFmtId="168" fontId="14" fillId="0" borderId="25" xfId="0" applyNumberFormat="1" applyFont="1" applyBorder="1" applyAlignment="1">
      <alignment horizontal="center" vertical="top" wrapText="1"/>
    </xf>
    <xf numFmtId="166" fontId="14" fillId="0" borderId="25" xfId="0" applyNumberFormat="1" applyFont="1" applyBorder="1" applyAlignment="1">
      <alignment horizontal="center" vertical="top" wrapText="1"/>
    </xf>
    <xf numFmtId="0" fontId="4" fillId="0" borderId="36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166" fontId="14" fillId="0" borderId="26" xfId="0" applyNumberFormat="1" applyFont="1" applyBorder="1" applyAlignment="1">
      <alignment horizontal="center" vertical="top" wrapText="1"/>
    </xf>
    <xf numFmtId="0" fontId="15" fillId="0" borderId="21" xfId="0" applyFont="1" applyBorder="1"/>
    <xf numFmtId="166" fontId="6" fillId="0" borderId="16" xfId="0" applyNumberFormat="1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97291</xdr:colOff>
      <xdr:row>41</xdr:row>
      <xdr:rowOff>46377</xdr:rowOff>
    </xdr:from>
    <xdr:to>
      <xdr:col>1</xdr:col>
      <xdr:colOff>297656</xdr:colOff>
      <xdr:row>41</xdr:row>
      <xdr:rowOff>639103</xdr:rowOff>
    </xdr:to>
    <xdr:pic>
      <xdr:nvPicPr>
        <xdr:cNvPr id="1029" name="Picture 2" descr="RA Logo"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99CCCC"/>
            </a:clrFrom>
            <a:clrTo>
              <a:srgbClr val="99CCCC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97291" y="9732962"/>
          <a:ext cx="549048" cy="592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73706</xdr:colOff>
      <xdr:row>0</xdr:row>
      <xdr:rowOff>28348</xdr:rowOff>
    </xdr:from>
    <xdr:to>
      <xdr:col>1</xdr:col>
      <xdr:colOff>935492</xdr:colOff>
      <xdr:row>0</xdr:row>
      <xdr:rowOff>1207634</xdr:rowOff>
    </xdr:to>
    <xdr:pic>
      <xdr:nvPicPr>
        <xdr:cNvPr id="1031" name="Picture 7" descr="RA Logo"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99CCCC"/>
            </a:clrFrom>
            <a:clrTo>
              <a:srgbClr val="99CCCC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73706" y="28348"/>
          <a:ext cx="1213304" cy="1179286"/>
        </a:xfrm>
        <a:prstGeom prst="rect">
          <a:avLst/>
        </a:prstGeom>
        <a:noFill/>
      </xdr:spPr>
    </xdr:pic>
    <xdr:clientData/>
  </xdr:twoCellAnchor>
  <xdr:twoCellAnchor editAs="oneCell">
    <xdr:from>
      <xdr:col>6</xdr:col>
      <xdr:colOff>685687</xdr:colOff>
      <xdr:row>0</xdr:row>
      <xdr:rowOff>198437</xdr:rowOff>
    </xdr:from>
    <xdr:to>
      <xdr:col>8</xdr:col>
      <xdr:colOff>463806</xdr:colOff>
      <xdr:row>0</xdr:row>
      <xdr:rowOff>1222935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E5DF123-D72A-4963-B879-7AE42854E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15062" y="198437"/>
          <a:ext cx="1240887" cy="1024498"/>
        </a:xfrm>
        <a:prstGeom prst="rect">
          <a:avLst/>
        </a:prstGeom>
      </xdr:spPr>
    </xdr:pic>
    <xdr:clientData/>
  </xdr:twoCellAnchor>
  <xdr:twoCellAnchor editAs="oneCell">
    <xdr:from>
      <xdr:col>8</xdr:col>
      <xdr:colOff>98880</xdr:colOff>
      <xdr:row>41</xdr:row>
      <xdr:rowOff>32945</xdr:rowOff>
    </xdr:from>
    <xdr:to>
      <xdr:col>9</xdr:col>
      <xdr:colOff>2211</xdr:colOff>
      <xdr:row>41</xdr:row>
      <xdr:rowOff>659475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CBF619D-EC1A-1F7B-B82D-0F2797AF80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2161" y="9719530"/>
          <a:ext cx="631540" cy="6297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race@doornplaat.com" TargetMode="External"/><Relationship Id="rId1" Type="http://schemas.openxmlformats.org/officeDocument/2006/relationships/hyperlink" Target="mailto:training@rmaa.co.za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42"/>
  <sheetViews>
    <sheetView tabSelected="1" topLeftCell="A2" zoomScale="112" zoomScaleNormal="112" workbookViewId="0">
      <selection activeCell="B27" sqref="B27:D27"/>
    </sheetView>
  </sheetViews>
  <sheetFormatPr defaultRowHeight="15" x14ac:dyDescent="0.25"/>
  <cols>
    <col min="1" max="1" width="5" customWidth="1"/>
    <col min="2" max="3" width="21.5703125" customWidth="1"/>
    <col min="4" max="4" width="17" bestFit="1" customWidth="1"/>
    <col min="5" max="5" width="16.85546875" style="23" customWidth="1"/>
    <col min="6" max="6" width="12.28515625" customWidth="1"/>
    <col min="7" max="8" width="10.5703125" customWidth="1"/>
    <col min="9" max="9" width="11" style="23" bestFit="1" customWidth="1"/>
  </cols>
  <sheetData>
    <row r="1" spans="1:9" ht="119.25" customHeight="1" thickBot="1" x14ac:dyDescent="0.3">
      <c r="A1" s="1"/>
      <c r="B1" s="1"/>
      <c r="C1" s="1"/>
      <c r="D1" s="1"/>
      <c r="E1" s="19"/>
      <c r="F1" s="1"/>
      <c r="G1" s="1"/>
      <c r="H1" s="1"/>
      <c r="I1" s="19"/>
    </row>
    <row r="2" spans="1:9" s="5" customFormat="1" ht="20.25" customHeight="1" thickBot="1" x14ac:dyDescent="0.3">
      <c r="A2" s="110" t="s">
        <v>53</v>
      </c>
      <c r="B2" s="110"/>
      <c r="C2" s="110"/>
      <c r="D2" s="105" t="s">
        <v>38</v>
      </c>
      <c r="E2" s="105"/>
      <c r="F2" s="105"/>
      <c r="G2" s="105"/>
      <c r="H2" s="105"/>
      <c r="I2" s="105"/>
    </row>
    <row r="3" spans="1:9" x14ac:dyDescent="0.25">
      <c r="A3" s="88" t="s">
        <v>0</v>
      </c>
      <c r="B3" s="89"/>
      <c r="C3" s="89"/>
      <c r="D3" s="89" t="s">
        <v>42</v>
      </c>
      <c r="E3" s="89"/>
      <c r="F3" s="89"/>
      <c r="G3" s="89"/>
      <c r="H3" s="89"/>
      <c r="I3" s="106"/>
    </row>
    <row r="4" spans="1:9" x14ac:dyDescent="0.25">
      <c r="A4" s="83" t="s">
        <v>1</v>
      </c>
      <c r="B4" s="84"/>
      <c r="C4" s="84"/>
      <c r="D4" s="94" t="s">
        <v>52</v>
      </c>
      <c r="E4" s="94"/>
      <c r="F4" s="94"/>
      <c r="G4" s="94"/>
      <c r="H4" s="94"/>
      <c r="I4" s="95"/>
    </row>
    <row r="5" spans="1:9" x14ac:dyDescent="0.25">
      <c r="A5" s="83" t="s">
        <v>2</v>
      </c>
      <c r="B5" s="84"/>
      <c r="C5" s="84"/>
      <c r="D5" s="107" t="s">
        <v>43</v>
      </c>
      <c r="E5" s="108"/>
      <c r="F5" s="108"/>
      <c r="G5" s="108"/>
      <c r="H5" s="108"/>
      <c r="I5" s="109"/>
    </row>
    <row r="6" spans="1:9" x14ac:dyDescent="0.25">
      <c r="A6" s="83" t="s">
        <v>3</v>
      </c>
      <c r="B6" s="84"/>
      <c r="C6" s="84"/>
      <c r="D6" s="94" t="s">
        <v>44</v>
      </c>
      <c r="E6" s="94"/>
      <c r="F6" s="94"/>
      <c r="G6" s="94"/>
      <c r="H6" s="94"/>
      <c r="I6" s="95"/>
    </row>
    <row r="7" spans="1:9" x14ac:dyDescent="0.25">
      <c r="A7" s="85" t="s">
        <v>16</v>
      </c>
      <c r="B7" s="86"/>
      <c r="C7" s="87"/>
      <c r="D7" s="111" t="s">
        <v>45</v>
      </c>
      <c r="E7" s="112"/>
      <c r="F7" s="112"/>
      <c r="G7" s="112"/>
      <c r="H7" s="112"/>
      <c r="I7" s="113"/>
    </row>
    <row r="8" spans="1:9" ht="14.45" hidden="1" customHeight="1" x14ac:dyDescent="0.25">
      <c r="A8" s="83" t="s">
        <v>4</v>
      </c>
      <c r="B8" s="84"/>
      <c r="C8" s="84"/>
      <c r="D8" s="94"/>
      <c r="E8" s="94"/>
      <c r="F8" s="94"/>
      <c r="G8" s="94"/>
      <c r="H8" s="94"/>
      <c r="I8" s="95"/>
    </row>
    <row r="9" spans="1:9" x14ac:dyDescent="0.25">
      <c r="A9" s="83" t="s">
        <v>5</v>
      </c>
      <c r="B9" s="84"/>
      <c r="C9" s="84"/>
      <c r="D9" s="101" t="s">
        <v>46</v>
      </c>
      <c r="E9" s="101"/>
      <c r="F9" s="101"/>
      <c r="G9" s="101"/>
      <c r="H9" s="101"/>
      <c r="I9" s="102"/>
    </row>
    <row r="10" spans="1:9" x14ac:dyDescent="0.25">
      <c r="A10" s="83" t="s">
        <v>6</v>
      </c>
      <c r="B10" s="84"/>
      <c r="C10" s="84"/>
      <c r="D10" s="101" t="s">
        <v>47</v>
      </c>
      <c r="E10" s="101"/>
      <c r="F10" s="101"/>
      <c r="G10" s="101"/>
      <c r="H10" s="101"/>
      <c r="I10" s="102"/>
    </row>
    <row r="11" spans="1:9" hidden="1" x14ac:dyDescent="0.25">
      <c r="A11" s="83" t="s">
        <v>7</v>
      </c>
      <c r="B11" s="84"/>
      <c r="C11" s="84"/>
      <c r="D11" s="101"/>
      <c r="E11" s="101"/>
      <c r="F11" s="101"/>
      <c r="G11" s="101"/>
      <c r="H11" s="101"/>
      <c r="I11" s="102"/>
    </row>
    <row r="12" spans="1:9" x14ac:dyDescent="0.25">
      <c r="A12" s="83" t="s">
        <v>8</v>
      </c>
      <c r="B12" s="84"/>
      <c r="C12" s="84"/>
      <c r="D12" s="101" t="s">
        <v>48</v>
      </c>
      <c r="E12" s="101"/>
      <c r="F12" s="101"/>
      <c r="G12" s="101"/>
      <c r="H12" s="101"/>
      <c r="I12" s="102"/>
    </row>
    <row r="13" spans="1:9" ht="14.45" customHeight="1" x14ac:dyDescent="0.25">
      <c r="A13" s="96" t="s">
        <v>9</v>
      </c>
      <c r="B13" s="97"/>
      <c r="C13" s="97"/>
      <c r="D13" s="114" t="s">
        <v>49</v>
      </c>
      <c r="E13" s="115"/>
      <c r="F13" s="115"/>
      <c r="G13" s="115"/>
      <c r="H13" s="115"/>
      <c r="I13" s="116"/>
    </row>
    <row r="14" spans="1:9" x14ac:dyDescent="0.25">
      <c r="A14" s="83" t="s">
        <v>10</v>
      </c>
      <c r="B14" s="84"/>
      <c r="C14" s="84"/>
      <c r="D14" s="94" t="s">
        <v>50</v>
      </c>
      <c r="E14" s="94"/>
      <c r="F14" s="94"/>
      <c r="G14" s="94"/>
      <c r="H14" s="94"/>
      <c r="I14" s="95"/>
    </row>
    <row r="15" spans="1:9" ht="15" customHeight="1" thickBot="1" x14ac:dyDescent="0.3">
      <c r="A15" s="90" t="s">
        <v>11</v>
      </c>
      <c r="B15" s="91"/>
      <c r="C15" s="91"/>
      <c r="D15" s="103" t="s">
        <v>51</v>
      </c>
      <c r="E15" s="103"/>
      <c r="F15" s="103"/>
      <c r="G15" s="103"/>
      <c r="H15" s="103"/>
      <c r="I15" s="104"/>
    </row>
    <row r="16" spans="1:9" x14ac:dyDescent="0.25">
      <c r="A16" s="88" t="s">
        <v>12</v>
      </c>
      <c r="B16" s="89"/>
      <c r="C16" s="89"/>
      <c r="D16" s="92" t="s">
        <v>31</v>
      </c>
      <c r="E16" s="92"/>
      <c r="F16" s="92"/>
      <c r="G16" s="92"/>
      <c r="H16" s="92"/>
      <c r="I16" s="93"/>
    </row>
    <row r="17" spans="1:27" x14ac:dyDescent="0.25">
      <c r="A17" s="83" t="s">
        <v>6</v>
      </c>
      <c r="B17" s="84"/>
      <c r="C17" s="84"/>
      <c r="D17" s="94" t="s">
        <v>23</v>
      </c>
      <c r="E17" s="94"/>
      <c r="F17" s="94"/>
      <c r="G17" s="94"/>
      <c r="H17" s="94"/>
      <c r="I17" s="95"/>
    </row>
    <row r="18" spans="1:27" x14ac:dyDescent="0.25">
      <c r="A18" s="83" t="s">
        <v>8</v>
      </c>
      <c r="B18" s="84"/>
      <c r="C18" s="84"/>
      <c r="D18" s="94" t="s">
        <v>25</v>
      </c>
      <c r="E18" s="94"/>
      <c r="F18" s="94"/>
      <c r="G18" s="94"/>
      <c r="H18" s="94"/>
      <c r="I18" s="95"/>
    </row>
    <row r="19" spans="1:27" ht="15.75" thickBot="1" x14ac:dyDescent="0.3">
      <c r="A19" s="90" t="s">
        <v>9</v>
      </c>
      <c r="B19" s="91"/>
      <c r="C19" s="91"/>
      <c r="D19" s="98" t="s">
        <v>26</v>
      </c>
      <c r="E19" s="99"/>
      <c r="F19" s="99"/>
      <c r="G19" s="99"/>
      <c r="H19" s="99"/>
      <c r="I19" s="100"/>
    </row>
    <row r="20" spans="1:27" s="2" customFormat="1" ht="40.5" customHeight="1" thickBot="1" x14ac:dyDescent="0.3">
      <c r="A20" s="126" t="s">
        <v>28</v>
      </c>
      <c r="B20" s="127"/>
      <c r="C20" s="127"/>
      <c r="D20" s="127"/>
      <c r="E20" s="127"/>
      <c r="F20" s="127"/>
      <c r="G20" s="127"/>
      <c r="H20" s="127"/>
      <c r="I20" s="128"/>
    </row>
    <row r="21" spans="1:27" s="6" customFormat="1" ht="54" customHeight="1" x14ac:dyDescent="0.2">
      <c r="A21" s="120" t="s">
        <v>13</v>
      </c>
      <c r="B21" s="121"/>
      <c r="C21" s="122" t="s">
        <v>17</v>
      </c>
      <c r="D21" s="122" t="s">
        <v>18</v>
      </c>
      <c r="E21" s="123" t="s">
        <v>19</v>
      </c>
      <c r="F21" s="122" t="s">
        <v>34</v>
      </c>
      <c r="G21" s="124" t="s">
        <v>35</v>
      </c>
      <c r="H21" s="125" t="s">
        <v>14</v>
      </c>
      <c r="I21" s="129"/>
      <c r="J21" s="130"/>
    </row>
    <row r="22" spans="1:27" s="6" customFormat="1" ht="25.35" customHeight="1" x14ac:dyDescent="0.2">
      <c r="A22" s="7">
        <v>1</v>
      </c>
      <c r="B22" s="46"/>
      <c r="C22" s="16"/>
      <c r="D22" s="17"/>
      <c r="E22" s="20"/>
      <c r="F22" s="117"/>
      <c r="G22" s="20"/>
      <c r="H22" s="119">
        <f>SUM(E22+(F22*5.5)+G22)</f>
        <v>0</v>
      </c>
      <c r="I22" s="118"/>
      <c r="J22" s="10"/>
    </row>
    <row r="23" spans="1:27" s="6" customFormat="1" ht="21.6" customHeight="1" x14ac:dyDescent="0.2">
      <c r="A23" s="7">
        <v>2</v>
      </c>
      <c r="B23" s="46"/>
      <c r="C23" s="17"/>
      <c r="D23" s="17"/>
      <c r="E23" s="20"/>
      <c r="F23" s="117"/>
      <c r="G23" s="20"/>
      <c r="H23" s="119">
        <f>SUM(E23+(F23*5.5)+G23)</f>
        <v>0</v>
      </c>
      <c r="I23" s="118"/>
      <c r="J23" s="10"/>
    </row>
    <row r="24" spans="1:27" s="6" customFormat="1" ht="21.6" customHeight="1" x14ac:dyDescent="0.2">
      <c r="A24" s="7">
        <v>3</v>
      </c>
      <c r="B24" s="46"/>
      <c r="C24" s="17"/>
      <c r="D24" s="17"/>
      <c r="E24" s="20"/>
      <c r="F24" s="117"/>
      <c r="G24" s="20"/>
      <c r="H24" s="119">
        <f>SUM(E24+(F24*5.5)+G24)</f>
        <v>0</v>
      </c>
      <c r="I24" s="131"/>
      <c r="J24" s="132"/>
    </row>
    <row r="25" spans="1:27" s="6" customFormat="1" ht="14.45" customHeight="1" x14ac:dyDescent="0.2">
      <c r="A25" s="57"/>
      <c r="B25" s="58"/>
      <c r="C25" s="58"/>
      <c r="D25" s="58"/>
      <c r="E25" s="58"/>
      <c r="F25" s="58"/>
      <c r="G25" s="58"/>
      <c r="H25" s="58"/>
      <c r="I25" s="59"/>
      <c r="K25" s="10"/>
    </row>
    <row r="26" spans="1:27" s="6" customFormat="1" ht="21.6" hidden="1" customHeight="1" x14ac:dyDescent="0.2">
      <c r="A26" s="7">
        <v>4</v>
      </c>
      <c r="B26" s="66" t="s">
        <v>33</v>
      </c>
      <c r="C26" s="67"/>
      <c r="D26" s="68"/>
      <c r="E26" s="37"/>
      <c r="F26" s="34"/>
      <c r="G26" s="44" t="str">
        <f>F26&amp;"km"</f>
        <v>km</v>
      </c>
      <c r="H26" s="34"/>
      <c r="I26" s="33">
        <f>SUM(E26+(F26*5.5)+H26)</f>
        <v>0</v>
      </c>
      <c r="K26" s="10"/>
    </row>
    <row r="27" spans="1:27" s="6" customFormat="1" ht="20.45" customHeight="1" x14ac:dyDescent="0.2">
      <c r="A27" s="30">
        <v>4</v>
      </c>
      <c r="B27" s="60" t="s">
        <v>30</v>
      </c>
      <c r="C27" s="61"/>
      <c r="D27" s="62"/>
      <c r="E27" s="35">
        <v>2900</v>
      </c>
      <c r="F27" s="31"/>
      <c r="G27" s="44" t="str">
        <f t="shared" ref="G27" si="0">F27&amp;"km"</f>
        <v>km</v>
      </c>
      <c r="H27" s="32"/>
      <c r="I27" s="33">
        <f>SUM(E27+(F27*5.5)+H27)</f>
        <v>2900</v>
      </c>
      <c r="K27" s="10"/>
    </row>
    <row r="28" spans="1:27" s="6" customFormat="1" ht="19.350000000000001" customHeight="1" x14ac:dyDescent="0.2">
      <c r="A28" s="7">
        <v>5</v>
      </c>
      <c r="B28" s="63" t="s">
        <v>32</v>
      </c>
      <c r="C28" s="64"/>
      <c r="D28" s="65"/>
      <c r="E28" s="36">
        <v>3328.5</v>
      </c>
      <c r="F28" s="18"/>
      <c r="G28" s="44" t="str">
        <f>F28&amp;"km"</f>
        <v>km</v>
      </c>
      <c r="H28" s="27"/>
      <c r="I28" s="33">
        <f>SUM(E28+(F28*5.5)+H28)</f>
        <v>3328.5</v>
      </c>
      <c r="K28" s="10"/>
    </row>
    <row r="29" spans="1:27" s="6" customFormat="1" ht="30" customHeight="1" x14ac:dyDescent="0.2">
      <c r="A29" s="80" t="s">
        <v>27</v>
      </c>
      <c r="B29" s="81"/>
      <c r="C29" s="81"/>
      <c r="D29" s="81"/>
      <c r="E29" s="81"/>
      <c r="F29" s="81"/>
      <c r="G29" s="81"/>
      <c r="H29" s="82"/>
      <c r="I29" s="26">
        <f>SUM(I22:I28)</f>
        <v>6228.5</v>
      </c>
      <c r="K29" s="10"/>
    </row>
    <row r="30" spans="1:27" s="6" customFormat="1" ht="30" hidden="1" customHeight="1" x14ac:dyDescent="0.2">
      <c r="A30" s="7"/>
      <c r="B30" s="11"/>
      <c r="C30" s="14"/>
      <c r="D30" s="13"/>
      <c r="E30" s="21"/>
      <c r="F30" s="8"/>
      <c r="G30" s="8"/>
      <c r="H30" s="9"/>
      <c r="I30" s="24"/>
      <c r="K30" s="10"/>
    </row>
    <row r="31" spans="1:27" s="6" customFormat="1" ht="30" hidden="1" customHeight="1" x14ac:dyDescent="0.2">
      <c r="A31" s="7"/>
      <c r="B31" s="12"/>
      <c r="C31" s="14"/>
      <c r="D31" s="13"/>
      <c r="E31" s="21"/>
      <c r="F31" s="8"/>
      <c r="G31" s="8"/>
      <c r="H31" s="9"/>
      <c r="I31" s="24"/>
      <c r="K31" s="10"/>
    </row>
    <row r="32" spans="1:27" s="29" customFormat="1" ht="16.5" customHeight="1" x14ac:dyDescent="0.25">
      <c r="A32" s="49" t="s">
        <v>36</v>
      </c>
      <c r="B32" s="50"/>
      <c r="C32" s="3" t="s">
        <v>22</v>
      </c>
      <c r="D32" s="3" t="s">
        <v>37</v>
      </c>
      <c r="E32" s="22">
        <v>0</v>
      </c>
      <c r="F32" s="47">
        <v>0</v>
      </c>
      <c r="G32" s="15" t="str">
        <f>F32&amp;"km"</f>
        <v>0km</v>
      </c>
      <c r="H32" s="48"/>
      <c r="I32" s="25">
        <f>SUM(E32+(F32*5.5)+H32)</f>
        <v>0</v>
      </c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9" x14ac:dyDescent="0.25">
      <c r="A33" s="51"/>
      <c r="B33" s="52"/>
      <c r="C33" s="3" t="s">
        <v>22</v>
      </c>
      <c r="D33" s="3" t="s">
        <v>41</v>
      </c>
      <c r="E33" s="22">
        <v>2900</v>
      </c>
      <c r="F33" s="47">
        <v>0</v>
      </c>
      <c r="G33" s="15" t="str">
        <f>F33&amp;"km"</f>
        <v>0km</v>
      </c>
      <c r="H33" s="4"/>
      <c r="I33" s="25">
        <f t="shared" ref="I33:I35" si="1">SUM(E33+(F33*5.5)+H33)</f>
        <v>2900</v>
      </c>
    </row>
    <row r="34" spans="1:9" x14ac:dyDescent="0.25">
      <c r="A34" s="51"/>
      <c r="B34" s="52"/>
      <c r="C34" s="3" t="s">
        <v>22</v>
      </c>
      <c r="D34" s="3" t="s">
        <v>40</v>
      </c>
      <c r="E34" s="22">
        <v>3328.5</v>
      </c>
      <c r="F34" s="47">
        <v>0</v>
      </c>
      <c r="G34" s="15" t="str">
        <f>F34&amp;"km"</f>
        <v>0km</v>
      </c>
      <c r="H34" s="45"/>
      <c r="I34" s="25">
        <f t="shared" si="1"/>
        <v>3328.5</v>
      </c>
    </row>
    <row r="35" spans="1:9" x14ac:dyDescent="0.25">
      <c r="A35" s="53"/>
      <c r="B35" s="54"/>
      <c r="C35" s="3" t="s">
        <v>22</v>
      </c>
      <c r="D35" s="3" t="s">
        <v>39</v>
      </c>
      <c r="E35" s="22">
        <v>0</v>
      </c>
      <c r="F35" s="47">
        <v>0</v>
      </c>
      <c r="G35" s="15" t="str">
        <f>F35&amp;"km"</f>
        <v>0km</v>
      </c>
      <c r="H35" s="4"/>
      <c r="I35" s="25">
        <f t="shared" si="1"/>
        <v>0</v>
      </c>
    </row>
    <row r="36" spans="1:9" s="5" customFormat="1" ht="22.5" customHeight="1" x14ac:dyDescent="0.25">
      <c r="A36" s="69" t="s">
        <v>24</v>
      </c>
      <c r="B36" s="70"/>
      <c r="C36" s="70"/>
      <c r="D36" s="70"/>
      <c r="E36" s="70"/>
      <c r="F36" s="70"/>
      <c r="G36" s="70"/>
      <c r="H36" s="70"/>
      <c r="I36" s="38">
        <f>SUM(I32:I35)</f>
        <v>6228.5</v>
      </c>
    </row>
    <row r="37" spans="1:9" s="5" customFormat="1" ht="19.5" thickBot="1" x14ac:dyDescent="0.3">
      <c r="A37" s="71" t="s">
        <v>21</v>
      </c>
      <c r="B37" s="72"/>
      <c r="C37" s="72"/>
      <c r="D37" s="72"/>
      <c r="E37" s="72"/>
      <c r="F37" s="72"/>
      <c r="G37" s="72"/>
      <c r="H37" s="72"/>
      <c r="I37" s="39">
        <f>I29-I36</f>
        <v>0</v>
      </c>
    </row>
    <row r="38" spans="1:9" ht="23.45" customHeight="1" x14ac:dyDescent="0.25">
      <c r="A38" s="73" t="s">
        <v>29</v>
      </c>
      <c r="B38" s="74"/>
      <c r="C38" s="74"/>
      <c r="D38" s="74"/>
      <c r="E38" s="74"/>
      <c r="F38" s="74"/>
      <c r="G38" s="74"/>
      <c r="H38" s="74"/>
      <c r="I38" s="75"/>
    </row>
    <row r="39" spans="1:9" ht="26.1" customHeight="1" x14ac:dyDescent="0.25">
      <c r="A39" s="40"/>
      <c r="B39" s="78"/>
      <c r="C39" s="78"/>
      <c r="H39" s="78"/>
      <c r="I39" s="79"/>
    </row>
    <row r="40" spans="1:9" x14ac:dyDescent="0.25">
      <c r="A40" s="40"/>
      <c r="B40" s="41" t="s">
        <v>15</v>
      </c>
      <c r="C40" s="41"/>
      <c r="H40" s="76" t="s">
        <v>13</v>
      </c>
      <c r="I40" s="77"/>
    </row>
    <row r="41" spans="1:9" ht="15.75" thickBot="1" x14ac:dyDescent="0.3">
      <c r="A41" s="42"/>
      <c r="B41" s="1"/>
      <c r="C41" s="1"/>
      <c r="D41" s="1"/>
      <c r="E41" s="19"/>
      <c r="F41" s="1"/>
      <c r="G41" s="1"/>
      <c r="H41" s="1"/>
      <c r="I41" s="43"/>
    </row>
    <row r="42" spans="1:9" ht="52.5" customHeight="1" x14ac:dyDescent="0.25">
      <c r="A42" s="55" t="s">
        <v>20</v>
      </c>
      <c r="B42" s="56"/>
      <c r="C42" s="56"/>
      <c r="D42" s="56"/>
      <c r="E42" s="56"/>
      <c r="F42" s="56"/>
      <c r="G42" s="56"/>
      <c r="H42" s="56"/>
      <c r="I42" s="56"/>
    </row>
  </sheetData>
  <mergeCells count="55">
    <mergeCell ref="H22:I22"/>
    <mergeCell ref="H23:I23"/>
    <mergeCell ref="H24:I24"/>
    <mergeCell ref="D15:I15"/>
    <mergeCell ref="D2:I2"/>
    <mergeCell ref="A3:C3"/>
    <mergeCell ref="A4:C4"/>
    <mergeCell ref="A5:C5"/>
    <mergeCell ref="A6:C6"/>
    <mergeCell ref="D3:I3"/>
    <mergeCell ref="D4:I4"/>
    <mergeCell ref="D5:I5"/>
    <mergeCell ref="D6:I6"/>
    <mergeCell ref="A2:C2"/>
    <mergeCell ref="A14:C14"/>
    <mergeCell ref="D8:I8"/>
    <mergeCell ref="D7:I7"/>
    <mergeCell ref="D13:I13"/>
    <mergeCell ref="D14:I14"/>
    <mergeCell ref="D11:I11"/>
    <mergeCell ref="D12:I12"/>
    <mergeCell ref="A9:C9"/>
    <mergeCell ref="A10:C10"/>
    <mergeCell ref="A11:C11"/>
    <mergeCell ref="A8:C8"/>
    <mergeCell ref="A7:C7"/>
    <mergeCell ref="A20:I20"/>
    <mergeCell ref="A16:C16"/>
    <mergeCell ref="A17:C17"/>
    <mergeCell ref="A18:C18"/>
    <mergeCell ref="A19:C19"/>
    <mergeCell ref="D16:I16"/>
    <mergeCell ref="D17:I17"/>
    <mergeCell ref="A12:C12"/>
    <mergeCell ref="A13:C13"/>
    <mergeCell ref="D18:I18"/>
    <mergeCell ref="D19:I19"/>
    <mergeCell ref="A15:C15"/>
    <mergeCell ref="D9:I9"/>
    <mergeCell ref="D10:I10"/>
    <mergeCell ref="A21:B21"/>
    <mergeCell ref="A32:B35"/>
    <mergeCell ref="A42:I42"/>
    <mergeCell ref="A25:I25"/>
    <mergeCell ref="B27:D27"/>
    <mergeCell ref="B28:D28"/>
    <mergeCell ref="B26:D26"/>
    <mergeCell ref="A36:H36"/>
    <mergeCell ref="A37:H37"/>
    <mergeCell ref="A38:I38"/>
    <mergeCell ref="H40:I40"/>
    <mergeCell ref="B39:C39"/>
    <mergeCell ref="H39:I39"/>
    <mergeCell ref="A29:H29"/>
    <mergeCell ref="H21:I21"/>
  </mergeCells>
  <phoneticPr fontId="22" type="noConversion"/>
  <hyperlinks>
    <hyperlink ref="D19" r:id="rId1" xr:uid="{00000000-0004-0000-0000-000000000000}"/>
    <hyperlink ref="D13" r:id="rId2" xr:uid="{CC7D57C1-BA20-4CEB-B9D1-C748B97D5C0D}"/>
  </hyperlinks>
  <pageMargins left="0.70866141732283472" right="0.70866141732283472" top="0.39370078740157483" bottom="0.39370078740157483" header="0.31496062992125984" footer="1.1417322834645669"/>
  <pageSetup paperSize="9" scale="6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Anthony Penzes</cp:lastModifiedBy>
  <cp:lastPrinted>2024-11-25T04:43:43Z</cp:lastPrinted>
  <dcterms:created xsi:type="dcterms:W3CDTF">2018-02-01T05:26:32Z</dcterms:created>
  <dcterms:modified xsi:type="dcterms:W3CDTF">2026-04-15T18:36:26Z</dcterms:modified>
</cp:coreProperties>
</file>