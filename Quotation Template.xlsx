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44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186" t="n"/>
      <c r="E23" s="78" t="n"/>
      <c r="F23" s="186" t="n"/>
      <c r="G23" s="187" t="n"/>
      <c r="H23" s="188" t="n"/>
      <c r="I23" s="186">
        <f>SUM(F23+(G23*5.5)+H23)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186" t="n"/>
      <c r="E24" s="78" t="n"/>
      <c r="F24" s="186" t="n"/>
      <c r="G24" s="187" t="n"/>
      <c r="H24" s="188" t="n"/>
      <c r="I24" s="186">
        <f>SUM(F24+(G24*5.5)+H24)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186" t="n"/>
      <c r="E25" s="78" t="n"/>
      <c r="F25" s="186" t="n"/>
      <c r="G25" s="187" t="n"/>
      <c r="H25" s="188" t="n"/>
      <c r="I25" s="186">
        <f>SUM(F25+(G25*5.5)+H25)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SUM(F26+(G26*5.5)+H26)</f>
        <v/>
      </c>
      <c r="J26" s="189" t="n"/>
      <c r="K26" s="85" t="n"/>
    </row>
    <row r="27" ht="14.45" customFormat="1" customHeight="1" s="84" thickBot="1">
      <c r="A27" s="193" t="n"/>
      <c r="B27" s="194" t="n"/>
      <c r="C27" s="194" t="n"/>
      <c r="D27" s="194" t="n"/>
      <c r="E27" s="194" t="n"/>
      <c r="F27" s="194" t="n"/>
      <c r="G27" s="194" t="n"/>
      <c r="H27" s="194" t="n"/>
      <c r="I27" s="195" t="n"/>
      <c r="K27" s="85" t="n"/>
    </row>
    <row r="28" hidden="1" ht="21.6" customFormat="1" customHeight="1" s="84">
      <c r="A28" s="112" t="n">
        <v>4</v>
      </c>
      <c r="B28" s="196" t="inlineStr">
        <is>
          <t>Service cost (PAH,HAW)</t>
        </is>
      </c>
      <c r="C28" s="197" t="n"/>
      <c r="D28" s="198" t="n"/>
      <c r="E28" s="199" t="n"/>
      <c r="F28" s="117" t="n"/>
      <c r="G28" s="118">
        <f>F28&amp;"km"</f>
        <v/>
      </c>
      <c r="H28" s="117" t="n"/>
      <c r="I28" s="200">
        <f>SUM(E28+(F28*5.5)+H28)</f>
        <v/>
      </c>
      <c r="K28" s="85" t="n"/>
    </row>
    <row r="29" ht="20.45" customFormat="1" customHeight="1" s="84">
      <c r="A29" s="124" t="n">
        <v>4</v>
      </c>
      <c r="B29" s="201" t="inlineStr">
        <is>
          <t>Sampling</t>
        </is>
      </c>
      <c r="C29" s="173" t="n"/>
      <c r="D29" s="173" t="n"/>
      <c r="E29" s="174" t="n"/>
      <c r="F29" s="202" t="n"/>
      <c r="G29" s="203" t="n"/>
      <c r="H29" s="204" t="n"/>
      <c r="I29" s="205">
        <f>SUM(F29+(G29*5.5)+H29)</f>
        <v/>
      </c>
      <c r="K29" s="85" t="n"/>
    </row>
    <row r="30" ht="19.35" customFormat="1" customHeight="1" s="84" thickBot="1">
      <c r="A30" s="108" t="n">
        <v>5</v>
      </c>
      <c r="B30" s="206" t="inlineStr">
        <is>
          <t>Audit verification</t>
        </is>
      </c>
      <c r="C30" s="180" t="n"/>
      <c r="D30" s="180" t="n"/>
      <c r="E30" s="181" t="n"/>
      <c r="F30" s="207" t="n"/>
      <c r="G30" s="208" t="n"/>
      <c r="H30" s="209" t="n"/>
      <c r="I30" s="210">
        <f>SUM(F30+(G30*5.5)+H30)</f>
        <v/>
      </c>
      <c r="K30" s="85" t="n"/>
    </row>
    <row r="31" ht="30" customFormat="1" customHeight="1" s="84" thickBot="1">
      <c r="A31" s="211" t="inlineStr">
        <is>
          <t>Sub - total</t>
        </is>
      </c>
      <c r="B31" s="194" t="n"/>
      <c r="C31" s="194" t="n"/>
      <c r="D31" s="194" t="n"/>
      <c r="E31" s="194" t="n"/>
      <c r="F31" s="194" t="n"/>
      <c r="G31" s="194" t="n"/>
      <c r="H31" s="212" t="n"/>
      <c r="I31" s="213">
        <f>SUM(I22:I30)</f>
        <v/>
      </c>
      <c r="K31" s="85" t="n"/>
    </row>
    <row r="32" hidden="1" ht="30" customFormat="1" customHeight="1" s="84">
      <c r="A32" s="7" t="n"/>
      <c r="B32" s="11" t="n"/>
      <c r="C32" s="13" t="n"/>
      <c r="D32" s="12" t="n"/>
      <c r="E32" s="214" t="n"/>
      <c r="F32" s="8" t="n"/>
      <c r="G32" s="8" t="n"/>
      <c r="H32" s="9" t="n"/>
      <c r="I32" s="215" t="n"/>
      <c r="K32" s="85" t="n"/>
    </row>
    <row r="33" hidden="1" ht="30" customFormat="1" customHeight="1" s="84">
      <c r="A33" s="112" t="n"/>
      <c r="B33" s="139" t="n"/>
      <c r="C33" s="140" t="n"/>
      <c r="D33" s="141" t="n"/>
      <c r="E33" s="216" t="n"/>
      <c r="F33" s="143" t="n"/>
      <c r="G33" s="143" t="n"/>
      <c r="H33" s="144" t="n"/>
      <c r="I33" s="217" t="n"/>
      <c r="K33" s="85" t="n"/>
    </row>
    <row r="34" ht="16.5" customFormat="1" customHeight="1" s="218">
      <c r="A34" s="242" t="inlineStr">
        <is>
          <t>Conducting an audit verification &amp; sampling enables us to provide you with a discount.</t>
        </is>
      </c>
      <c r="B34" s="170" t="n"/>
      <c r="C34" s="220" t="inlineStr">
        <is>
          <t>Discounted</t>
        </is>
      </c>
      <c r="D34" s="220" t="n"/>
      <c r="E34" s="174" t="n"/>
      <c r="F34" s="221" t="n"/>
      <c r="G34" s="222" t="n"/>
      <c r="H34" s="223" t="n"/>
      <c r="I34" s="224">
        <f>SUM(F34+(G34*5.5)+H34)</f>
        <v/>
      </c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189" t="n"/>
      <c r="T34" s="189" t="n"/>
      <c r="U34" s="189" t="n"/>
      <c r="V34" s="189" t="n"/>
      <c r="W34" s="189" t="n"/>
      <c r="X34" s="189" t="n"/>
      <c r="Y34" s="189" t="n"/>
      <c r="Z34" s="189" t="n"/>
      <c r="AA34" s="189" t="n"/>
    </row>
    <row r="35">
      <c r="A35" s="22" t="n"/>
      <c r="C35" s="225" t="inlineStr">
        <is>
          <t>Discounted</t>
        </is>
      </c>
      <c r="D35" s="225" t="n"/>
      <c r="E35" s="176" t="n"/>
      <c r="F35" s="226" t="n"/>
      <c r="G35" s="227" t="n"/>
      <c r="H35" s="226" t="n"/>
      <c r="I35" s="228">
        <f>SUM(F35+(G35*5.5)+H35)</f>
        <v/>
      </c>
    </row>
    <row r="36">
      <c r="A36" s="22" t="n"/>
      <c r="C36" s="225" t="inlineStr">
        <is>
          <t>Discounted</t>
        </is>
      </c>
      <c r="D36" s="225" t="n"/>
      <c r="E36" s="176" t="n"/>
      <c r="F36" s="226" t="n"/>
      <c r="G36" s="227" t="n"/>
      <c r="H36" s="226" t="n"/>
      <c r="I36" s="228">
        <f>SUM(F36+(G36*5.5)+H36)</f>
        <v/>
      </c>
    </row>
    <row r="37" ht="15.75" customHeight="1" s="95" thickBot="1">
      <c r="A37" s="23" t="n"/>
      <c r="B37" s="1" t="n"/>
      <c r="C37" s="229" t="inlineStr">
        <is>
          <t>Discounted</t>
        </is>
      </c>
      <c r="D37" s="229" t="n"/>
      <c r="E37" s="181" t="n"/>
      <c r="F37" s="230" t="n"/>
      <c r="G37" s="231" t="n"/>
      <c r="H37" s="230" t="n"/>
      <c r="I37" s="232">
        <f>SUM(F37+(G37*5.5)+H37)</f>
        <v/>
      </c>
    </row>
    <row r="38" ht="22.5" customFormat="1" customHeight="1" s="5">
      <c r="A38" s="233" t="inlineStr">
        <is>
          <t>Discount provided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34">
        <f>SUM(I34:I37)</f>
        <v/>
      </c>
    </row>
    <row r="39" ht="19.5" customFormat="1" customHeight="1" s="5" thickBot="1">
      <c r="A39" s="235" t="inlineStr">
        <is>
          <t xml:space="preserve"> TOTAL Excl 15% VAT</t>
        </is>
      </c>
      <c r="B39" s="180" t="n"/>
      <c r="C39" s="180" t="n"/>
      <c r="D39" s="180" t="n"/>
      <c r="E39" s="180" t="n"/>
      <c r="F39" s="180" t="n"/>
      <c r="G39" s="180" t="n"/>
      <c r="H39" s="236" t="n"/>
      <c r="I39" s="237">
        <f>I31+I38</f>
        <v/>
      </c>
    </row>
    <row r="40" ht="23.45" customHeight="1" s="95">
      <c r="A40" s="238" t="inlineStr">
        <is>
          <t>For acceptance of the quote, please sign below and email back the signed copy</t>
        </is>
      </c>
      <c r="B40" s="170" t="n"/>
      <c r="C40" s="170" t="n"/>
      <c r="D40" s="170" t="n"/>
      <c r="E40" s="170" t="n"/>
      <c r="F40" s="170" t="n"/>
      <c r="G40" s="170" t="n"/>
      <c r="H40" s="170" t="n"/>
      <c r="I40" s="239" t="n"/>
    </row>
    <row r="41" ht="26.1" customHeight="1" s="95">
      <c r="A41" s="22" t="n"/>
      <c r="B41" s="70" t="n"/>
      <c r="C41" s="194" t="n"/>
      <c r="E41" s="168" t="n"/>
      <c r="H41" s="71" t="n"/>
      <c r="I41" s="195" t="n"/>
    </row>
    <row r="42">
      <c r="A42" s="22" t="n"/>
      <c r="B42" s="97" t="inlineStr">
        <is>
          <t>Client</t>
        </is>
      </c>
      <c r="C42" s="97" t="n"/>
      <c r="E42" s="168" t="n"/>
      <c r="H42" s="69" t="inlineStr">
        <is>
          <t>Date</t>
        </is>
      </c>
      <c r="I42" s="240" t="n"/>
    </row>
    <row r="43" ht="15.75" customHeight="1" s="95" thickBot="1">
      <c r="A43" s="23" t="n"/>
      <c r="B43" s="1" t="n"/>
      <c r="C43" s="1" t="n"/>
      <c r="D43" s="1" t="n"/>
      <c r="E43" s="169" t="n"/>
      <c r="F43" s="1" t="n"/>
      <c r="G43" s="1" t="n"/>
      <c r="H43" s="1" t="n"/>
      <c r="I43" s="241" t="n"/>
    </row>
    <row r="44" ht="52.5" customHeight="1" s="95">
      <c r="A44" s="67" t="inlineStr">
        <is>
          <t xml:space="preserve">General Manager : Dr GC Neethling
 Red Meat Abattoir Association                                                                     Abattoir Skills Training
</t>
        </is>
      </c>
      <c r="B44" s="170" t="n"/>
      <c r="C44" s="170" t="n"/>
      <c r="D44" s="170" t="n"/>
      <c r="E44" s="170" t="n"/>
      <c r="F44" s="170" t="n"/>
      <c r="G44" s="170" t="n"/>
      <c r="H44" s="170" t="n"/>
      <c r="I44" s="170" t="n"/>
    </row>
  </sheetData>
  <mergeCells count="55">
    <mergeCell ref="D11:I11"/>
    <mergeCell ref="D2:I2"/>
    <mergeCell ref="A39:H39"/>
    <mergeCell ref="D13:I13"/>
    <mergeCell ref="D34:E34"/>
    <mergeCell ref="B30:E30"/>
    <mergeCell ref="D17:I17"/>
    <mergeCell ref="A18:C18"/>
    <mergeCell ref="H41:I41"/>
    <mergeCell ref="A27:I27"/>
    <mergeCell ref="A3:C3"/>
    <mergeCell ref="A12:C12"/>
    <mergeCell ref="D16:I16"/>
    <mergeCell ref="D36:E36"/>
    <mergeCell ref="D7:I7"/>
    <mergeCell ref="A2:C2"/>
    <mergeCell ref="B28:D28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34:B37"/>
    <mergeCell ref="D14:I14"/>
    <mergeCell ref="D5:I5"/>
    <mergeCell ref="A44:I44"/>
    <mergeCell ref="D37:E37"/>
    <mergeCell ref="A40:I40"/>
    <mergeCell ref="A9:C9"/>
    <mergeCell ref="A15:C15"/>
    <mergeCell ref="D19:I19"/>
    <mergeCell ref="D10:I10"/>
    <mergeCell ref="A11:C11"/>
    <mergeCell ref="A38:H38"/>
    <mergeCell ref="H42:I42"/>
    <mergeCell ref="A6:C6"/>
    <mergeCell ref="B29:E29"/>
    <mergeCell ref="D6:I6"/>
    <mergeCell ref="B41:C41"/>
    <mergeCell ref="A7:C7"/>
    <mergeCell ref="A31:H31"/>
    <mergeCell ref="A16:C16"/>
    <mergeCell ref="D35:E35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