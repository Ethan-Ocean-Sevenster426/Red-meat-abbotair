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'Sheet1'!$A$1:$I$44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R-1C09]#,##0.00"/>
    <numFmt numFmtId="165" formatCode="&quot;R&quot;#,##0.00"/>
    <numFmt numFmtId="166" formatCode="[$-1C09]dd\ mmmm\ yyyy;@"/>
    <numFmt numFmtId="167" formatCode="[$-F800]dddd\,\ mmmm\ dd\,\ yyyy"/>
    <numFmt numFmtId="168" formatCode="0\ &quot;km&quot;"/>
    <numFmt numFmtId="169" formatCode="_-&quot;£&quot;* #,##0.00_-;\-&quot;£&quot;* #,##0.00_-;_-&quot;£&quot;* &quot;-&quot;??_-;_-@_-"/>
  </numFmts>
  <fonts count="3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i val="1"/>
      <color rgb="FFFF0000"/>
      <sz val="11"/>
      <u val="single"/>
      <scheme val="minor"/>
    </font>
    <font>
      <name val="Calibri"/>
      <family val="2"/>
      <color theme="1"/>
      <sz val="7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i val="1"/>
      <color rgb="FFFF0000"/>
      <sz val="11"/>
      <u val="single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4" tint="-0.249977111117893"/>
      <sz val="8"/>
      <scheme val="minor"/>
    </font>
    <font>
      <name val="Calibri"/>
      <family val="2"/>
      <sz val="11"/>
      <scheme val="minor"/>
    </font>
    <font>
      <name val="Trebuchet MS"/>
      <family val="2"/>
      <b val="1"/>
      <color rgb="FFFF0000"/>
      <sz val="11"/>
      <u val="single"/>
    </font>
    <font>
      <name val="Calibri"/>
      <family val="2"/>
      <b val="1"/>
      <color rgb="FF0033CC"/>
      <sz val="11"/>
      <scheme val="minor"/>
    </font>
    <font>
      <name val="Arial Narrow"/>
      <family val="2"/>
      <b val="1"/>
      <color theme="1"/>
      <sz val="10"/>
    </font>
    <font>
      <name val="Calibri"/>
      <family val="2"/>
      <color theme="1"/>
      <sz val="10"/>
      <scheme val="minor"/>
    </font>
    <font>
      <name val="Arial Narrow"/>
      <family val="2"/>
      <b val="1"/>
      <color theme="1"/>
      <sz val="12"/>
    </font>
    <font>
      <name val="Calibri"/>
      <family val="2"/>
      <color theme="1"/>
      <sz val="9"/>
      <scheme val="minor"/>
    </font>
    <font>
      <name val="Calibri"/>
      <family val="2"/>
      <b val="1"/>
      <i val="1"/>
      <color rgb="FFFF0000"/>
      <sz val="14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8"/>
      <scheme val="minor"/>
    </font>
    <font>
      <name val="Calibri"/>
      <family val="2"/>
      <color rgb="FF0033CC"/>
      <sz val="8"/>
      <scheme val="minor"/>
    </font>
    <font>
      <name val="Calibri"/>
      <family val="2"/>
      <b val="1"/>
      <color rgb="FFFF0000"/>
      <sz val="8"/>
      <scheme val="minor"/>
    </font>
    <font>
      <name val="Calibri"/>
      <b val="1"/>
      <color rgb="FF0070C0"/>
      <sz val="10"/>
    </font>
    <font>
      <name val="Calibri"/>
      <b val="1"/>
      <color rgb="FF0070C0"/>
      <sz val="14"/>
    </font>
    <font>
      <name val="Calibri"/>
      <color rgb="FF0070C0"/>
      <sz val="8"/>
    </font>
    <font>
      <name val="Calibri"/>
      <b val="1"/>
      <color rgb="FF0070C0"/>
      <sz val="8"/>
    </font>
    <font>
      <name val="Calibri"/>
      <color rgb="FF0070C0"/>
      <sz val="11"/>
    </font>
    <font>
      <name val="Calibri"/>
      <b val="1"/>
      <color rgb="FFFF0000"/>
      <sz val="10"/>
    </font>
  </fonts>
  <fills count="2">
    <fill>
      <patternFill/>
    </fill>
    <fill>
      <patternFill patternType="gray125"/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" fillId="0" borderId="0"/>
    <xf numFmtId="0" fontId="3" fillId="0" borderId="0" applyAlignment="1" applyProtection="1">
      <alignment vertical="top"/>
      <protection locked="0" hidden="0"/>
    </xf>
    <xf numFmtId="169" fontId="1" fillId="0" borderId="0"/>
  </cellStyleXfs>
  <cellXfs count="243">
    <xf numFmtId="0" fontId="0" fillId="0" borderId="0" pivotButton="0" quotePrefix="0" xfId="0"/>
    <xf numFmtId="0" fontId="0" fillId="0" borderId="12" pivotButton="0" quotePrefix="0" xfId="0"/>
    <xf numFmtId="0" fontId="0" fillId="0" borderId="0" applyAlignment="1" pivotButton="0" quotePrefix="0" xfId="0">
      <alignment wrapText="1"/>
    </xf>
    <xf numFmtId="0" fontId="10" fillId="0" borderId="2" applyAlignment="1" pivotButton="0" quotePrefix="0" xfId="0">
      <alignment horizontal="center" vertical="center" wrapText="1"/>
    </xf>
    <xf numFmtId="4" fontId="1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15" fillId="0" borderId="0" pivotButton="0" quotePrefix="0" xfId="0"/>
    <xf numFmtId="0" fontId="15" fillId="0" borderId="6" applyAlignment="1" pivotButton="0" quotePrefix="0" xfId="0">
      <alignment horizontal="center" vertical="center"/>
    </xf>
    <xf numFmtId="4" fontId="15" fillId="0" borderId="2" applyAlignment="1" pivotButton="0" quotePrefix="0" xfId="0">
      <alignment horizontal="center" vertical="center" wrapText="1"/>
    </xf>
    <xf numFmtId="3" fontId="15" fillId="0" borderId="2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top" wrapText="1"/>
    </xf>
    <xf numFmtId="0" fontId="17" fillId="0" borderId="2" applyAlignment="1" pivotButton="0" quotePrefix="0" xfId="0">
      <alignment horizontal="center" vertical="top" wrapText="1"/>
    </xf>
    <xf numFmtId="0" fontId="17" fillId="0" borderId="2" applyAlignment="1" pivotButton="0" quotePrefix="0" xfId="0">
      <alignment horizontal="center" vertical="top"/>
    </xf>
    <xf numFmtId="164" fontId="0" fillId="0" borderId="12" pivotButton="0" quotePrefix="0" xfId="0"/>
    <xf numFmtId="164" fontId="15" fillId="0" borderId="2" applyAlignment="1" pivotButton="0" quotePrefix="0" xfId="0">
      <alignment horizontal="center" vertical="center" wrapText="1"/>
    </xf>
    <xf numFmtId="164" fontId="0" fillId="0" borderId="0" pivotButton="0" quotePrefix="0" xfId="0"/>
    <xf numFmtId="164" fontId="15" fillId="0" borderId="7" applyAlignment="1" pivotButton="0" quotePrefix="0" xfId="0">
      <alignment horizontal="center" vertical="center" wrapText="1"/>
    </xf>
    <xf numFmtId="164" fontId="10" fillId="0" borderId="7" applyAlignment="1" pivotButton="0" quotePrefix="0" xfId="0">
      <alignment horizontal="center" vertical="center" wrapText="1"/>
    </xf>
    <xf numFmtId="164" fontId="6" fillId="0" borderId="0" applyAlignment="1" pivotButton="0" quotePrefix="0" xfId="0">
      <alignment vertical="center" wrapText="1"/>
    </xf>
    <xf numFmtId="164" fontId="6" fillId="0" borderId="7" applyAlignment="1" pivotButton="0" quotePrefix="0" xfId="0">
      <alignment vertical="center" wrapText="1"/>
    </xf>
    <xf numFmtId="164" fontId="2" fillId="0" borderId="24" applyAlignment="1" pivotButton="0" quotePrefix="0" xfId="2">
      <alignment vertical="center"/>
    </xf>
    <xf numFmtId="0" fontId="0" fillId="0" borderId="21" pivotButton="0" quotePrefix="0" xfId="0"/>
    <xf numFmtId="0" fontId="0" fillId="0" borderId="18" pivotButton="0" quotePrefix="0" xfId="0"/>
    <xf numFmtId="164" fontId="0" fillId="0" borderId="22" pivotButton="0" quotePrefix="0" xfId="0"/>
    <xf numFmtId="165" fontId="10" fillId="0" borderId="2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 wrapText="1"/>
    </xf>
    <xf numFmtId="164" fontId="6" fillId="0" borderId="7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" vertical="center" wrapText="1"/>
    </xf>
    <xf numFmtId="49" fontId="11" fillId="0" borderId="9" applyAlignment="1" pivotButton="0" quotePrefix="0" xfId="0">
      <alignment horizontal="left" vertical="top" wrapText="1"/>
    </xf>
    <xf numFmtId="49" fontId="11" fillId="0" borderId="10" applyAlignment="1" pivotButton="0" quotePrefix="0" xfId="0">
      <alignment horizontal="left" vertical="top" wrapText="1"/>
    </xf>
    <xf numFmtId="166" fontId="2" fillId="0" borderId="20" applyAlignment="1" pivotButton="0" quotePrefix="0" xfId="0">
      <alignment horizontal="left" vertical="center"/>
    </xf>
    <xf numFmtId="49" fontId="2" fillId="0" borderId="3" applyAlignment="1" pivotButton="0" quotePrefix="0" xfId="0">
      <alignment horizontal="left"/>
    </xf>
    <xf numFmtId="49" fontId="2" fillId="0" borderId="4" applyAlignment="1" pivotButton="0" quotePrefix="0" xfId="0">
      <alignment horizontal="left"/>
    </xf>
    <xf numFmtId="49" fontId="2" fillId="0" borderId="6" applyAlignment="1" pivotButton="0" quotePrefix="0" xfId="0">
      <alignment horizontal="left"/>
    </xf>
    <xf numFmtId="49" fontId="2" fillId="0" borderId="2" applyAlignment="1" pivotButton="0" quotePrefix="0" xfId="0">
      <alignment horizontal="left"/>
    </xf>
    <xf numFmtId="49" fontId="2" fillId="0" borderId="5" applyAlignment="1" pivotButton="0" quotePrefix="0" xfId="0">
      <alignment horizontal="left"/>
    </xf>
    <xf numFmtId="49" fontId="0" fillId="0" borderId="2" applyAlignment="1" pivotButton="0" quotePrefix="0" xfId="0">
      <alignment horizontal="left"/>
    </xf>
    <xf numFmtId="49" fontId="0" fillId="0" borderId="7" applyAlignment="1" pivotButton="0" quotePrefix="0" xfId="0">
      <alignment horizontal="left"/>
    </xf>
    <xf numFmtId="49" fontId="13" fillId="0" borderId="2" applyAlignment="1" pivotButton="0" quotePrefix="0" xfId="0">
      <alignment horizontal="left" vertical="top" wrapText="1"/>
    </xf>
    <xf numFmtId="49" fontId="13" fillId="0" borderId="2" applyAlignment="1" pivotButton="0" quotePrefix="0" xfId="0">
      <alignment horizontal="left" vertical="top"/>
    </xf>
    <xf numFmtId="49" fontId="13" fillId="0" borderId="7" applyAlignment="1" pivotButton="0" quotePrefix="0" xfId="0">
      <alignment horizontal="left" vertical="top"/>
    </xf>
    <xf numFmtId="167" fontId="2" fillId="0" borderId="11" applyAlignment="1" pivotButton="0" quotePrefix="0" xfId="0">
      <alignment horizontal="left" vertical="center"/>
    </xf>
    <xf numFmtId="49" fontId="21" fillId="0" borderId="16" applyAlignment="1" pivotButton="0" quotePrefix="0" xfId="0">
      <alignment horizontal="left"/>
    </xf>
    <xf numFmtId="49" fontId="0" fillId="0" borderId="14" applyAlignment="1" pivotButton="0" quotePrefix="0" xfId="0">
      <alignment horizontal="left"/>
    </xf>
    <xf numFmtId="49" fontId="0" fillId="0" borderId="17" applyAlignment="1" pivotButton="0" quotePrefix="0" xfId="0">
      <alignment horizontal="left"/>
    </xf>
    <xf numFmtId="49" fontId="3" fillId="0" borderId="2" applyAlignment="1" pivotButton="0" quotePrefix="0" xfId="1">
      <alignment horizontal="left" vertical="center" wrapText="1"/>
    </xf>
    <xf numFmtId="49" fontId="0" fillId="0" borderId="2" applyAlignment="1" pivotButton="0" quotePrefix="0" xfId="0">
      <alignment horizontal="left" vertical="center"/>
    </xf>
    <xf numFmtId="49" fontId="0" fillId="0" borderId="7" applyAlignment="1" pivotButton="0" quotePrefix="0" xfId="0">
      <alignment horizontal="left" vertical="center"/>
    </xf>
    <xf numFmtId="49" fontId="11" fillId="0" borderId="2" applyAlignment="1" pivotButton="0" quotePrefix="0" xfId="0">
      <alignment horizontal="left"/>
    </xf>
    <xf numFmtId="49" fontId="11" fillId="0" borderId="7" applyAlignment="1" pivotButton="0" quotePrefix="0" xfId="0">
      <alignment horizontal="left"/>
    </xf>
    <xf numFmtId="49" fontId="2" fillId="0" borderId="13" applyAlignment="1" pivotButton="0" quotePrefix="0" xfId="0">
      <alignment horizontal="left" wrapText="1"/>
    </xf>
    <xf numFmtId="49" fontId="0" fillId="0" borderId="14" applyAlignment="1" pivotButton="0" quotePrefix="0" xfId="0">
      <alignment horizontal="left" wrapText="1"/>
    </xf>
    <xf numFmtId="49" fontId="0" fillId="0" borderId="15" applyAlignment="1" pivotButton="0" quotePrefix="0" xfId="0">
      <alignment horizontal="left" wrapText="1"/>
    </xf>
    <xf numFmtId="0" fontId="4" fillId="0" borderId="30" applyAlignment="1" pivotButton="0" quotePrefix="0" xfId="0">
      <alignment horizontal="center" vertical="center" wrapText="1"/>
    </xf>
    <xf numFmtId="0" fontId="4" fillId="0" borderId="31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49" fontId="2" fillId="0" borderId="8" applyAlignment="1" pivotButton="0" quotePrefix="0" xfId="0">
      <alignment horizontal="left"/>
    </xf>
    <xf numFmtId="49" fontId="2" fillId="0" borderId="9" applyAlignment="1" pivotButton="0" quotePrefix="0" xfId="0">
      <alignment horizontal="left"/>
    </xf>
    <xf numFmtId="49" fontId="0" fillId="0" borderId="4" applyAlignment="1" pivotButton="0" quotePrefix="0" xfId="0">
      <alignment horizontal="left"/>
    </xf>
    <xf numFmtId="49" fontId="0" fillId="0" borderId="5" applyAlignment="1" pivotButton="0" quotePrefix="0" xfId="0">
      <alignment horizontal="left"/>
    </xf>
    <xf numFmtId="49" fontId="2" fillId="0" borderId="6" applyAlignment="1" pivotButton="0" quotePrefix="0" xfId="0">
      <alignment horizontal="left" vertical="center"/>
    </xf>
    <xf numFmtId="49" fontId="2" fillId="0" borderId="2" applyAlignment="1" pivotButton="0" quotePrefix="0" xfId="0">
      <alignment horizontal="left" vertical="center"/>
    </xf>
    <xf numFmtId="49" fontId="3" fillId="0" borderId="9" applyAlignment="1" pivotButton="0" quotePrefix="0" xfId="1">
      <alignment horizontal="left"/>
    </xf>
    <xf numFmtId="49" fontId="0" fillId="0" borderId="9" applyAlignment="1" pivotButton="0" quotePrefix="0" xfId="0">
      <alignment horizontal="left"/>
    </xf>
    <xf numFmtId="49" fontId="0" fillId="0" borderId="10" applyAlignment="1" pivotButton="0" quotePrefix="0" xfId="0">
      <alignment horizontal="left"/>
    </xf>
    <xf numFmtId="164" fontId="20" fillId="0" borderId="2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167" fontId="6" fillId="0" borderId="16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top" wrapText="1"/>
    </xf>
    <xf numFmtId="0" fontId="14" fillId="0" borderId="5" applyAlignment="1" pivotButton="0" quotePrefix="0" xfId="0">
      <alignment horizontal="center" vertical="top" wrapText="1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164" fontId="14" fillId="0" borderId="5" applyAlignment="1" pivotButton="0" quotePrefix="0" xfId="0">
      <alignment horizontal="center" vertical="top" wrapText="1"/>
    </xf>
    <xf numFmtId="164" fontId="6" fillId="0" borderId="10" applyAlignment="1" pivotButton="0" quotePrefix="0" xfId="0">
      <alignment horizontal="center" vertical="center" wrapText="1"/>
    </xf>
    <xf numFmtId="0" fontId="15" fillId="0" borderId="0" pivotButton="0" quotePrefix="0" xfId="0"/>
    <xf numFmtId="0" fontId="15" fillId="0" borderId="0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vertical="center" wrapText="1"/>
    </xf>
    <xf numFmtId="0" fontId="12" fillId="0" borderId="33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9" fillId="0" borderId="35" applyAlignment="1" pivotButton="0" quotePrefix="0" xfId="0">
      <alignment horizontal="right" vertical="center"/>
    </xf>
    <xf numFmtId="0" fontId="19" fillId="0" borderId="36" applyAlignment="1" pivotButton="0" quotePrefix="0" xfId="0">
      <alignment horizontal="right" vertical="center"/>
    </xf>
    <xf numFmtId="0" fontId="19" fillId="0" borderId="37" applyAlignment="1" pivotButton="0" quotePrefix="0" xfId="0">
      <alignment horizontal="right" vertical="center"/>
    </xf>
    <xf numFmtId="164" fontId="2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8" fontId="6" fillId="0" borderId="15" applyAlignment="1" pivotButton="0" quotePrefix="0" xfId="0">
      <alignment horizontal="center" vertical="center" wrapText="1"/>
    </xf>
    <xf numFmtId="168" fontId="10" fillId="0" borderId="2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center" vertical="center" wrapText="1"/>
    </xf>
    <xf numFmtId="0" fontId="10" fillId="0" borderId="15" applyAlignment="1" pivotButton="0" quotePrefix="0" xfId="0">
      <alignment horizontal="center" vertical="center" wrapText="1"/>
    </xf>
    <xf numFmtId="164" fontId="6" fillId="0" borderId="29" applyAlignment="1" pivotButton="0" quotePrefix="0" xfId="0">
      <alignment horizontal="center" vertical="center" wrapText="1"/>
    </xf>
    <xf numFmtId="164" fontId="6" fillId="0" borderId="27" applyAlignment="1" pivotButton="0" quotePrefix="0" xfId="0">
      <alignment horizontal="center" vertical="center" wrapText="1"/>
    </xf>
    <xf numFmtId="0" fontId="14" fillId="0" borderId="38" applyAlignment="1" pivotButton="0" quotePrefix="0" xfId="0">
      <alignment horizontal="center" vertical="top" wrapText="1"/>
    </xf>
    <xf numFmtId="0" fontId="14" fillId="0" borderId="39" applyAlignment="1" pivotButton="0" quotePrefix="0" xfId="0">
      <alignment horizontal="center" vertical="top" wrapText="1"/>
    </xf>
    <xf numFmtId="0" fontId="14" fillId="0" borderId="40" applyAlignment="1" pivotButton="0" quotePrefix="0" xfId="0">
      <alignment horizontal="center" vertical="top" wrapText="1"/>
    </xf>
    <xf numFmtId="165" fontId="14" fillId="0" borderId="4" applyAlignment="1" pivotButton="0" quotePrefix="0" xfId="0">
      <alignment horizontal="center" vertical="top" wrapText="1"/>
    </xf>
    <xf numFmtId="0" fontId="15" fillId="0" borderId="8" applyAlignment="1" pivotButton="0" quotePrefix="0" xfId="0">
      <alignment horizontal="center" vertical="center"/>
    </xf>
    <xf numFmtId="167" fontId="6" fillId="0" borderId="41" applyAlignment="1" pivotButton="0" quotePrefix="0" xfId="0">
      <alignment horizontal="center" vertical="center" wrapText="1"/>
    </xf>
    <xf numFmtId="168" fontId="6" fillId="0" borderId="42" applyAlignment="1" pivotButton="0" quotePrefix="0" xfId="0">
      <alignment horizontal="center" vertical="center" wrapText="1"/>
    </xf>
    <xf numFmtId="164" fontId="6" fillId="0" borderId="9" applyAlignment="1" pivotButton="0" quotePrefix="0" xfId="0">
      <alignment horizontal="center" vertical="center" wrapText="1"/>
    </xf>
    <xf numFmtId="0" fontId="15" fillId="0" borderId="43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165" fontId="6" fillId="0" borderId="45" applyAlignment="1" pivotButton="0" quotePrefix="0" xfId="0">
      <alignment horizontal="center" vertical="center"/>
    </xf>
    <xf numFmtId="0" fontId="9" fillId="0" borderId="45" applyAlignment="1" pivotButton="0" quotePrefix="0" xfId="0">
      <alignment horizontal="center" vertical="center"/>
    </xf>
    <xf numFmtId="0" fontId="15" fillId="0" borderId="45" applyAlignment="1" pivotButton="0" quotePrefix="0" xfId="0">
      <alignment horizontal="center" vertical="center"/>
    </xf>
    <xf numFmtId="164" fontId="6" fillId="0" borderId="46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0" borderId="26" applyAlignment="1" pivotButton="0" quotePrefix="0" xfId="0">
      <alignment horizontal="right" vertical="center" wrapText="1"/>
    </xf>
    <xf numFmtId="164" fontId="9" fillId="0" borderId="25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 wrapText="1"/>
    </xf>
    <xf numFmtId="0" fontId="6" fillId="0" borderId="39" applyAlignment="1" pivotButton="0" quotePrefix="0" xfId="0">
      <alignment horizontal="center" vertical="center" wrapText="1"/>
    </xf>
    <xf numFmtId="0" fontId="6" fillId="0" borderId="40" applyAlignment="1" pivotButton="0" quotePrefix="0" xfId="0">
      <alignment horizontal="center" vertical="center" wrapText="1"/>
    </xf>
    <xf numFmtId="165" fontId="6" fillId="0" borderId="4" applyAlignment="1" pivotButton="0" quotePrefix="0" xfId="0">
      <alignment horizontal="center" vertical="center" wrapText="1"/>
    </xf>
    <xf numFmtId="168" fontId="15" fillId="0" borderId="4" applyAlignment="1" pivotButton="0" quotePrefix="0" xfId="0">
      <alignment horizontal="center" vertical="center"/>
    </xf>
    <xf numFmtId="164" fontId="6" fillId="0" borderId="39" applyAlignment="1" pivotButton="0" quotePrefix="0" xfId="0">
      <alignment horizontal="center" vertical="center" wrapText="1"/>
    </xf>
    <xf numFmtId="164" fontId="6" fillId="0" borderId="5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 wrapText="1"/>
    </xf>
    <xf numFmtId="0" fontId="6" fillId="0" borderId="36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 wrapText="1"/>
    </xf>
    <xf numFmtId="165" fontId="6" fillId="0" borderId="9" applyAlignment="1" pivotButton="0" quotePrefix="0" xfId="0">
      <alignment horizontal="center" vertical="center" wrapText="1"/>
    </xf>
    <xf numFmtId="168" fontId="15" fillId="0" borderId="9" applyAlignment="1" pivotButton="0" quotePrefix="0" xfId="0">
      <alignment horizontal="center" vertical="center"/>
    </xf>
    <xf numFmtId="164" fontId="6" fillId="0" borderId="36" applyAlignment="1" pivotButton="0" quotePrefix="0" xfId="0">
      <alignment horizontal="center" vertical="center" wrapText="1"/>
    </xf>
    <xf numFmtId="164" fontId="6" fillId="0" borderId="48" applyAlignment="1" pivotButton="0" quotePrefix="0" xfId="0">
      <alignment horizontal="center" vertical="center" wrapText="1"/>
    </xf>
    <xf numFmtId="0" fontId="17" fillId="0" borderId="45" applyAlignment="1" pivotButton="0" quotePrefix="0" xfId="0">
      <alignment horizontal="left" vertical="top"/>
    </xf>
    <xf numFmtId="0" fontId="17" fillId="0" borderId="45" applyAlignment="1" pivotButton="0" quotePrefix="0" xfId="0">
      <alignment horizontal="center" vertical="top"/>
    </xf>
    <xf numFmtId="0" fontId="17" fillId="0" borderId="45" applyAlignment="1" pivotButton="0" quotePrefix="0" xfId="0">
      <alignment horizontal="center" vertical="top" wrapText="1"/>
    </xf>
    <xf numFmtId="164" fontId="15" fillId="0" borderId="45" applyAlignment="1" pivotButton="0" quotePrefix="0" xfId="0">
      <alignment horizontal="center" vertical="center" wrapText="1"/>
    </xf>
    <xf numFmtId="4" fontId="15" fillId="0" borderId="45" applyAlignment="1" pivotButton="0" quotePrefix="0" xfId="0">
      <alignment horizontal="center" vertical="center" wrapText="1"/>
    </xf>
    <xf numFmtId="3" fontId="15" fillId="0" borderId="45" applyAlignment="1" pivotButton="0" quotePrefix="0" xfId="0">
      <alignment horizontal="center" vertical="center" wrapText="1"/>
    </xf>
    <xf numFmtId="164" fontId="15" fillId="0" borderId="49" applyAlignment="1" pivotButton="0" quotePrefix="0" xfId="0">
      <alignment horizontal="center" vertical="center" wrapText="1"/>
    </xf>
    <xf numFmtId="0" fontId="8" fillId="0" borderId="29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8" fillId="0" borderId="26" applyAlignment="1" pivotButton="0" quotePrefix="0" xfId="0">
      <alignment horizontal="right" vertical="center"/>
    </xf>
    <xf numFmtId="165" fontId="0" fillId="0" borderId="25" pivotButton="0" quotePrefix="0" xfId="0"/>
    <xf numFmtId="164" fontId="20" fillId="0" borderId="33" applyAlignment="1" pivotButton="0" quotePrefix="0" xfId="0">
      <alignment horizontal="center" vertical="center" wrapText="1"/>
    </xf>
    <xf numFmtId="164" fontId="20" fillId="0" borderId="11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47" applyAlignment="1" pivotButton="0" quotePrefix="0" xfId="0">
      <alignment horizontal="center" vertical="center" wrapText="1"/>
    </xf>
    <xf numFmtId="0" fontId="10" fillId="0" borderId="40" applyAlignment="1" pivotButton="0" quotePrefix="0" xfId="0">
      <alignment horizontal="center" vertical="center" wrapText="1"/>
    </xf>
    <xf numFmtId="0" fontId="23" fillId="0" borderId="4" applyAlignment="1" pivotButton="0" quotePrefix="0" xfId="0">
      <alignment horizontal="center" vertical="center" wrapText="1"/>
    </xf>
    <xf numFmtId="168" fontId="10" fillId="0" borderId="4" applyAlignment="1" pivotButton="0" quotePrefix="0" xfId="0">
      <alignment horizontal="center" vertical="center" wrapText="1"/>
    </xf>
    <xf numFmtId="164" fontId="24" fillId="0" borderId="4" applyAlignment="1" pivotButton="0" quotePrefix="0" xfId="0">
      <alignment vertical="center" wrapText="1"/>
    </xf>
    <xf numFmtId="164" fontId="10" fillId="0" borderId="5" applyAlignment="1" pivotButton="0" quotePrefix="0" xfId="0">
      <alignment horizontal="center" vertical="center" wrapText="1"/>
    </xf>
    <xf numFmtId="164" fontId="20" fillId="0" borderId="18" applyAlignment="1" pivotButton="0" quotePrefix="0" xfId="0">
      <alignment horizontal="center" vertical="center" wrapText="1"/>
    </xf>
    <xf numFmtId="164" fontId="20" fillId="0" borderId="12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0" borderId="41" applyAlignment="1" pivotButton="0" quotePrefix="0" xfId="0">
      <alignment horizontal="center" vertical="center" wrapText="1"/>
    </xf>
    <xf numFmtId="0" fontId="10" fillId="0" borderId="42" applyAlignment="1" pivotButton="0" quotePrefix="0" xfId="0">
      <alignment horizontal="center" vertical="center" wrapText="1"/>
    </xf>
    <xf numFmtId="0" fontId="23" fillId="0" borderId="9" applyAlignment="1" pivotButton="0" quotePrefix="0" xfId="0">
      <alignment horizontal="center" vertical="center" wrapText="1"/>
    </xf>
    <xf numFmtId="168" fontId="10" fillId="0" borderId="9" applyAlignment="1" pivotButton="0" quotePrefix="0" xfId="0">
      <alignment horizontal="center" vertical="center" wrapText="1"/>
    </xf>
    <xf numFmtId="4" fontId="10" fillId="0" borderId="9" applyAlignment="1" pivotButton="0" quotePrefix="0" xfId="0">
      <alignment horizontal="center" vertical="center" wrapText="1"/>
    </xf>
    <xf numFmtId="164" fontId="10" fillId="0" borderId="10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2" pivotButton="0" quotePrefix="0" xfId="0"/>
    <xf numFmtId="0" fontId="0" fillId="0" borderId="11" pivotButton="0" quotePrefix="0" xfId="0"/>
    <xf numFmtId="166" fontId="2" fillId="0" borderId="20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14" pivotButton="0" quotePrefix="0" xfId="0"/>
    <xf numFmtId="0" fontId="0" fillId="0" borderId="15" pivotButton="0" quotePrefix="0" xfId="0"/>
    <xf numFmtId="49" fontId="2" fillId="0" borderId="6" applyAlignment="1" pivotButton="0" quotePrefix="0" xfId="0">
      <alignment horizontal="left" wrapText="1"/>
    </xf>
    <xf numFmtId="49" fontId="21" fillId="0" borderId="7" applyAlignment="1" pivotButton="0" quotePrefix="0" xfId="0">
      <alignment horizontal="left"/>
    </xf>
    <xf numFmtId="0" fontId="0" fillId="0" borderId="17" pivotButton="0" quotePrefix="0" xfId="0"/>
    <xf numFmtId="0" fontId="0" fillId="0" borderId="36" pivotButton="0" quotePrefix="0" xfId="0"/>
    <xf numFmtId="0" fontId="0" fillId="0" borderId="42" pivotButton="0" quotePrefix="0" xfId="0"/>
    <xf numFmtId="0" fontId="0" fillId="0" borderId="58" pivotButton="0" quotePrefix="0" xfId="0"/>
    <xf numFmtId="165" fontId="14" fillId="0" borderId="4" applyAlignment="1" pivotButton="0" quotePrefix="0" xfId="0">
      <alignment horizontal="center" vertical="top" wrapText="1"/>
    </xf>
    <xf numFmtId="164" fontId="14" fillId="0" borderId="5" applyAlignment="1" pivotButton="0" quotePrefix="0" xfId="0">
      <alignment horizontal="center" vertical="top" wrapText="1"/>
    </xf>
    <xf numFmtId="164" fontId="14" fillId="0" borderId="0" applyAlignment="1" pivotButton="0" quotePrefix="0" xfId="0">
      <alignment vertical="top" wrapText="1"/>
    </xf>
    <xf numFmtId="164" fontId="6" fillId="0" borderId="7" applyAlignment="1" pivotButton="0" quotePrefix="0" xfId="0">
      <alignment horizontal="center" vertical="center" wrapText="1"/>
    </xf>
    <xf numFmtId="168" fontId="6" fillId="0" borderId="15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" vertical="center" wrapText="1"/>
    </xf>
    <xf numFmtId="164" fontId="6" fillId="0" borderId="0" applyAlignment="1" pivotButton="0" quotePrefix="0" xfId="0">
      <alignment vertical="center" wrapText="1"/>
    </xf>
    <xf numFmtId="164" fontId="6" fillId="0" borderId="10" applyAlignment="1" pivotButton="0" quotePrefix="0" xfId="0">
      <alignment horizontal="center" vertical="center" wrapText="1"/>
    </xf>
    <xf numFmtId="168" fontId="6" fillId="0" borderId="42" applyAlignment="1" pivotButton="0" quotePrefix="0" xfId="0">
      <alignment horizontal="center" vertical="center" wrapText="1"/>
    </xf>
    <xf numFmtId="164" fontId="6" fillId="0" borderId="9" applyAlignment="1" pivotButton="0" quotePrefix="0" xfId="0">
      <alignment horizontal="center" vertical="center" wrapText="1"/>
    </xf>
    <xf numFmtId="164" fontId="6" fillId="0" borderId="52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7" pivotButton="0" quotePrefix="0" xfId="0"/>
    <xf numFmtId="0" fontId="6" fillId="0" borderId="45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8" pivotButton="0" quotePrefix="0" xfId="0"/>
    <xf numFmtId="165" fontId="6" fillId="0" borderId="45" applyAlignment="1" pivotButton="0" quotePrefix="0" xfId="0">
      <alignment horizontal="center" vertical="center"/>
    </xf>
    <xf numFmtId="164" fontId="6" fillId="0" borderId="46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165" fontId="6" fillId="0" borderId="4" applyAlignment="1" pivotButton="0" quotePrefix="0" xfId="0">
      <alignment horizontal="center" vertical="center" wrapText="1"/>
    </xf>
    <xf numFmtId="168" fontId="15" fillId="0" borderId="4" applyAlignment="1" pivotButton="0" quotePrefix="0" xfId="0">
      <alignment horizontal="center" vertical="center"/>
    </xf>
    <xf numFmtId="164" fontId="6" fillId="0" borderId="39" applyAlignment="1" pivotButton="0" quotePrefix="0" xfId="0">
      <alignment horizontal="center" vertical="center" wrapText="1"/>
    </xf>
    <xf numFmtId="164" fontId="6" fillId="0" borderId="5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165" fontId="6" fillId="0" borderId="9" applyAlignment="1" pivotButton="0" quotePrefix="0" xfId="0">
      <alignment horizontal="center" vertical="center" wrapText="1"/>
    </xf>
    <xf numFmtId="168" fontId="15" fillId="0" borderId="9" applyAlignment="1" pivotButton="0" quotePrefix="0" xfId="0">
      <alignment horizontal="center" vertical="center"/>
    </xf>
    <xf numFmtId="164" fontId="6" fillId="0" borderId="36" applyAlignment="1" pivotButton="0" quotePrefix="0" xfId="0">
      <alignment horizontal="center" vertical="center" wrapText="1"/>
    </xf>
    <xf numFmtId="164" fontId="6" fillId="0" borderId="48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right" vertical="center" wrapText="1"/>
    </xf>
    <xf numFmtId="0" fontId="0" fillId="0" borderId="26" pivotButton="0" quotePrefix="0" xfId="0"/>
    <xf numFmtId="164" fontId="9" fillId="0" borderId="25" applyAlignment="1" pivotButton="0" quotePrefix="0" xfId="0">
      <alignment horizontal="center" vertical="center" wrapText="1"/>
    </xf>
    <xf numFmtId="164" fontId="15" fillId="0" borderId="2" applyAlignment="1" pivotButton="0" quotePrefix="0" xfId="0">
      <alignment horizontal="center" vertical="center" wrapText="1"/>
    </xf>
    <xf numFmtId="164" fontId="15" fillId="0" borderId="7" applyAlignment="1" pivotButton="0" quotePrefix="0" xfId="0">
      <alignment horizontal="center" vertical="center" wrapText="1"/>
    </xf>
    <xf numFmtId="164" fontId="15" fillId="0" borderId="45" applyAlignment="1" pivotButton="0" quotePrefix="0" xfId="0">
      <alignment horizontal="center" vertical="center" wrapText="1"/>
    </xf>
    <xf numFmtId="164" fontId="15" fillId="0" borderId="49" applyAlignment="1" pivotButton="0" quotePrefix="0" xfId="0">
      <alignment horizontal="center" vertical="center" wrapText="1"/>
    </xf>
    <xf numFmtId="164" fontId="6" fillId="0" borderId="7" applyAlignment="1" pivotButton="0" quotePrefix="0" xfId="0">
      <alignment vertical="center" wrapText="1"/>
    </xf>
    <xf numFmtId="164" fontId="25" fillId="0" borderId="50" applyAlignment="1" pivotButton="0" quotePrefix="0" xfId="0">
      <alignment horizontal="center" vertical="center" wrapText="1"/>
    </xf>
    <xf numFmtId="0" fontId="27" fillId="0" borderId="4" applyAlignment="1" pivotButton="0" quotePrefix="0" xfId="0">
      <alignment horizontal="center" vertical="center" wrapText="1"/>
    </xf>
    <xf numFmtId="165" fontId="27" fillId="0" borderId="4" applyAlignment="1" pivotButton="0" quotePrefix="0" xfId="0">
      <alignment horizontal="center" vertical="center" wrapText="1"/>
    </xf>
    <xf numFmtId="168" fontId="27" fillId="0" borderId="4" applyAlignment="1" pivotButton="0" quotePrefix="0" xfId="0">
      <alignment horizontal="center" vertical="center" wrapText="1"/>
    </xf>
    <xf numFmtId="165" fontId="28" fillId="0" borderId="4" applyAlignment="1" pivotButton="0" quotePrefix="0" xfId="0">
      <alignment vertical="center" wrapText="1"/>
    </xf>
    <xf numFmtId="165" fontId="27" fillId="0" borderId="5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165" fontId="27" fillId="0" borderId="2" applyAlignment="1" pivotButton="0" quotePrefix="0" xfId="0">
      <alignment horizontal="center" vertical="center" wrapText="1"/>
    </xf>
    <xf numFmtId="168" fontId="27" fillId="0" borderId="2" applyAlignment="1" pivotButton="0" quotePrefix="0" xfId="0">
      <alignment horizontal="center" vertical="center" wrapText="1"/>
    </xf>
    <xf numFmtId="165" fontId="27" fillId="0" borderId="7" applyAlignment="1" pivotButton="0" quotePrefix="0" xfId="0">
      <alignment horizontal="center" vertical="center" wrapText="1"/>
    </xf>
    <xf numFmtId="0" fontId="27" fillId="0" borderId="9" applyAlignment="1" pivotButton="0" quotePrefix="0" xfId="0">
      <alignment horizontal="center" vertical="center" wrapText="1"/>
    </xf>
    <xf numFmtId="165" fontId="27" fillId="0" borderId="9" applyAlignment="1" pivotButton="0" quotePrefix="0" xfId="0">
      <alignment horizontal="center" vertical="center" wrapText="1"/>
    </xf>
    <xf numFmtId="168" fontId="27" fillId="0" borderId="9" applyAlignment="1" pivotButton="0" quotePrefix="0" xfId="0">
      <alignment horizontal="center" vertical="center" wrapText="1"/>
    </xf>
    <xf numFmtId="165" fontId="27" fillId="0" borderId="10" applyAlignment="1" pivotButton="0" quotePrefix="0" xfId="0">
      <alignment horizontal="center" vertical="center" wrapText="1"/>
    </xf>
    <xf numFmtId="0" fontId="26" fillId="0" borderId="54" applyAlignment="1" pivotButton="0" quotePrefix="0" xfId="0">
      <alignment horizontal="right" vertical="center"/>
    </xf>
    <xf numFmtId="165" fontId="29" fillId="0" borderId="25" pivotButton="0" quotePrefix="0" xfId="0"/>
    <xf numFmtId="0" fontId="19" fillId="0" borderId="56" applyAlignment="1" pivotButton="0" quotePrefix="0" xfId="0">
      <alignment horizontal="right" vertical="center"/>
    </xf>
    <xf numFmtId="0" fontId="0" fillId="0" borderId="37" pivotButton="0" quotePrefix="0" xfId="0"/>
    <xf numFmtId="164" fontId="2" fillId="0" borderId="24" applyAlignment="1" pivotButton="0" quotePrefix="0" xfId="2">
      <alignment vertical="center"/>
    </xf>
    <xf numFmtId="0" fontId="12" fillId="0" borderId="57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23" pivotButton="0" quotePrefix="0" xfId="0"/>
    <xf numFmtId="164" fontId="0" fillId="0" borderId="22" pivotButton="0" quotePrefix="0" xfId="0"/>
    <xf numFmtId="164" fontId="30" fillId="0" borderId="50" applyAlignment="1" pivotButton="0" quotePrefix="0" xfId="0">
      <alignment horizontal="center" vertical="center" wrapText="1"/>
    </xf>
  </cellXfs>
  <cellStyles count="3">
    <cellStyle name="Normal" xfId="0" builtinId="0"/>
    <cellStyle name="Hyperlink" xfId="1" builtinId="8"/>
    <cellStyle name="Currency" xfId="2" builtin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jpeg" Id="rId4"/></Relationships>
</file>

<file path=xl/drawings/drawing1.xml><?xml version="1.0" encoding="utf-8"?>
<wsDr xmlns="http://schemas.openxmlformats.org/drawingml/2006/spreadsheetDrawing">
  <twoCellAnchor>
    <from>
      <col>0</col>
      <colOff>97291</colOff>
      <row>43</row>
      <rowOff>46377</rowOff>
    </from>
    <to>
      <col>1</col>
      <colOff>297656</colOff>
      <row>43</row>
      <rowOff>639103</rowOff>
    </to>
    <pic>
      <nvPicPr>
        <cNvPr id="1029" name="Picture 2" descr="RA Log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7291" y="9732962"/>
          <a:ext cx="549048" cy="5927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>
    <from>
      <col>0</col>
      <colOff>73706</colOff>
      <row>0</row>
      <rowOff>28348</rowOff>
    </from>
    <to>
      <col>1</col>
      <colOff>935492</colOff>
      <row>0</row>
      <rowOff>1207634</rowOff>
    </to>
    <pic>
      <nvPicPr>
        <cNvPr id="1031" name="Picture 7" descr="RA Log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3706" y="28348"/>
          <a:ext cx="1213304" cy="117928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685687</colOff>
      <row>0</row>
      <rowOff>198437</rowOff>
    </from>
    <to>
      <col>8</col>
      <colOff>463806</colOff>
      <row>0</row>
      <rowOff>1222935</rowOff>
    </to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15062" y="198437"/>
          <a:ext cx="1240887" cy="102449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98880</colOff>
      <row>43</row>
      <rowOff>32945</rowOff>
    </from>
    <to>
      <col>9</col>
      <colOff>2211</colOff>
      <row>43</row>
      <rowOff>659475</rowOff>
    </to>
    <pic>
      <nvPicPr>
        <cNvPr id="12" name="Picture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302161" y="9719530"/>
          <a:ext cx="631540" cy="6297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grace@doornplaat.com" TargetMode="External" Id="rId1"/><Relationship Type="http://schemas.openxmlformats.org/officeDocument/2006/relationships/hyperlink" Target="mailto:training@rmaa.co.za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4"/>
  <sheetViews>
    <sheetView tabSelected="1" topLeftCell="A20" zoomScale="112" zoomScaleNormal="112" workbookViewId="0">
      <selection activeCell="J10" sqref="J10"/>
    </sheetView>
  </sheetViews>
  <sheetFormatPr baseColWidth="8" defaultRowHeight="15"/>
  <cols>
    <col width="5" customWidth="1" style="95" min="1" max="1"/>
    <col width="21.5703125" customWidth="1" style="95" min="2" max="3"/>
    <col width="17" bestFit="1" customWidth="1" style="95" min="4" max="4"/>
    <col width="16.85546875" customWidth="1" style="168" min="5" max="5"/>
    <col width="12.28515625" customWidth="1" style="95" min="6" max="6"/>
    <col width="10.5703125" customWidth="1" style="95" min="7" max="8"/>
    <col width="11" bestFit="1" customWidth="1" style="168" min="9" max="9"/>
  </cols>
  <sheetData>
    <row r="1" ht="119.25" customHeight="1" s="95" thickBot="1">
      <c r="A1" s="1" t="n"/>
      <c r="B1" s="1" t="n"/>
      <c r="C1" s="1" t="n"/>
      <c r="D1" s="1" t="n"/>
      <c r="E1" s="169" t="n"/>
      <c r="F1" s="1" t="n"/>
      <c r="G1" s="1" t="n"/>
      <c r="H1" s="1" t="n"/>
      <c r="I1" s="169" t="n"/>
    </row>
    <row r="2" ht="20.25" customFormat="1" customHeight="1" s="5" thickBot="1">
      <c r="A2" s="42" t="inlineStr">
        <is>
          <t>QUOTATION DATE: 23/02/2026</t>
        </is>
      </c>
      <c r="B2" s="170" t="n"/>
      <c r="C2" s="170" t="n"/>
      <c r="D2" s="171" t="inlineStr">
        <is>
          <t>Training and Support Services Contract 2026</t>
        </is>
      </c>
      <c r="E2" s="172" t="n"/>
      <c r="F2" s="172" t="n"/>
      <c r="G2" s="172" t="n"/>
      <c r="H2" s="172" t="n"/>
      <c r="I2" s="172" t="n"/>
    </row>
    <row r="3">
      <c r="A3" s="32" t="inlineStr">
        <is>
          <t>Name of Client:</t>
        </is>
      </c>
      <c r="B3" s="173" t="n"/>
      <c r="C3" s="174" t="n"/>
      <c r="D3" s="33" t="inlineStr">
        <is>
          <t>Doornplaat Abattoir</t>
        </is>
      </c>
      <c r="E3" s="173" t="n"/>
      <c r="F3" s="173" t="n"/>
      <c r="G3" s="173" t="n"/>
      <c r="H3" s="173" t="n"/>
      <c r="I3" s="174" t="n"/>
    </row>
    <row r="4">
      <c r="A4" s="34" t="inlineStr">
        <is>
          <t>RMAA member:</t>
        </is>
      </c>
      <c r="B4" s="175" t="n"/>
      <c r="C4" s="176" t="n"/>
      <c r="D4" s="37" t="inlineStr">
        <is>
          <t>Yes</t>
        </is>
      </c>
      <c r="E4" s="175" t="n"/>
      <c r="F4" s="175" t="n"/>
      <c r="G4" s="175" t="n"/>
      <c r="H4" s="175" t="n"/>
      <c r="I4" s="176" t="n"/>
    </row>
    <row r="5">
      <c r="A5" s="34" t="inlineStr">
        <is>
          <t>RC:</t>
        </is>
      </c>
      <c r="B5" s="175" t="n"/>
      <c r="C5" s="176" t="n"/>
      <c r="D5" s="39" t="inlineStr">
        <is>
          <t>03/12R</t>
        </is>
      </c>
      <c r="E5" s="175" t="n"/>
      <c r="F5" s="175" t="n"/>
      <c r="G5" s="175" t="n"/>
      <c r="H5" s="175" t="n"/>
      <c r="I5" s="176" t="n"/>
    </row>
    <row r="6">
      <c r="A6" s="34" t="inlineStr">
        <is>
          <t>Throughput:</t>
        </is>
      </c>
      <c r="B6" s="175" t="n"/>
      <c r="C6" s="176" t="n"/>
      <c r="D6" s="37" t="inlineStr">
        <is>
          <t>HT 400</t>
        </is>
      </c>
      <c r="E6" s="175" t="n"/>
      <c r="F6" s="175" t="n"/>
      <c r="G6" s="175" t="n"/>
      <c r="H6" s="175" t="n"/>
      <c r="I6" s="176" t="n"/>
    </row>
    <row r="7">
      <c r="A7" s="177" t="inlineStr">
        <is>
          <t>VAT Number</t>
        </is>
      </c>
      <c r="B7" s="175" t="n"/>
      <c r="C7" s="176" t="n"/>
      <c r="D7" s="178" t="inlineStr">
        <is>
          <t>4920255173</t>
        </is>
      </c>
      <c r="E7" s="175" t="n"/>
      <c r="F7" s="175" t="n"/>
      <c r="G7" s="175" t="n"/>
      <c r="H7" s="175" t="n"/>
      <c r="I7" s="179" t="n"/>
    </row>
    <row r="8" hidden="1" ht="14.45" customHeight="1" s="95">
      <c r="A8" s="34" t="inlineStr">
        <is>
          <t>Seta:</t>
        </is>
      </c>
      <c r="B8" s="175" t="n"/>
      <c r="C8" s="176" t="n"/>
      <c r="D8" s="37" t="n"/>
      <c r="E8" s="175" t="n"/>
      <c r="F8" s="175" t="n"/>
      <c r="G8" s="175" t="n"/>
      <c r="H8" s="175" t="n"/>
      <c r="I8" s="176" t="n"/>
    </row>
    <row r="9">
      <c r="A9" s="34" t="inlineStr">
        <is>
          <t>Client Contact:</t>
        </is>
      </c>
      <c r="B9" s="175" t="n"/>
      <c r="C9" s="176" t="n"/>
      <c r="D9" s="49" t="inlineStr">
        <is>
          <t>Grace Maluleke</t>
        </is>
      </c>
      <c r="E9" s="175" t="n"/>
      <c r="F9" s="175" t="n"/>
      <c r="G9" s="175" t="n"/>
      <c r="H9" s="175" t="n"/>
      <c r="I9" s="176" t="n"/>
    </row>
    <row r="10">
      <c r="A10" s="34" t="inlineStr">
        <is>
          <t>Telephone:</t>
        </is>
      </c>
      <c r="B10" s="175" t="n"/>
      <c r="C10" s="176" t="n"/>
      <c r="D10" s="49" t="inlineStr">
        <is>
          <t>012 940 2571</t>
        </is>
      </c>
      <c r="E10" s="175" t="n"/>
      <c r="F10" s="175" t="n"/>
      <c r="G10" s="175" t="n"/>
      <c r="H10" s="175" t="n"/>
      <c r="I10" s="176" t="n"/>
    </row>
    <row r="11" hidden="1" s="95">
      <c r="A11" s="34" t="inlineStr">
        <is>
          <t>Fax:</t>
        </is>
      </c>
      <c r="B11" s="175" t="n"/>
      <c r="C11" s="176" t="n"/>
      <c r="D11" s="49" t="n"/>
      <c r="E11" s="175" t="n"/>
      <c r="F11" s="175" t="n"/>
      <c r="G11" s="175" t="n"/>
      <c r="H11" s="175" t="n"/>
      <c r="I11" s="176" t="n"/>
    </row>
    <row r="12">
      <c r="A12" s="34" t="inlineStr">
        <is>
          <t>Cell:</t>
        </is>
      </c>
      <c r="B12" s="175" t="n"/>
      <c r="C12" s="176" t="n"/>
      <c r="D12" s="49" t="inlineStr">
        <is>
          <t>082 426 6435</t>
        </is>
      </c>
      <c r="E12" s="175" t="n"/>
      <c r="F12" s="175" t="n"/>
      <c r="G12" s="175" t="n"/>
      <c r="H12" s="175" t="n"/>
      <c r="I12" s="176" t="n"/>
    </row>
    <row r="13" ht="14.45" customHeight="1" s="95">
      <c r="A13" s="61" t="inlineStr">
        <is>
          <t>E-mail:</t>
        </is>
      </c>
      <c r="B13" s="175" t="n"/>
      <c r="C13" s="176" t="n"/>
      <c r="D13" s="46" t="inlineStr">
        <is>
          <t>grace@doornplaat.com</t>
        </is>
      </c>
      <c r="E13" s="175" t="n"/>
      <c r="F13" s="175" t="n"/>
      <c r="G13" s="175" t="n"/>
      <c r="H13" s="175" t="n"/>
      <c r="I13" s="176" t="n"/>
    </row>
    <row r="14">
      <c r="A14" s="34" t="inlineStr">
        <is>
          <t>Postal Address:</t>
        </is>
      </c>
      <c r="B14" s="175" t="n"/>
      <c r="C14" s="176" t="n"/>
      <c r="D14" s="37" t="inlineStr">
        <is>
          <t>P O Box 20454, Rustenburg, 0305</t>
        </is>
      </c>
      <c r="E14" s="175" t="n"/>
      <c r="F14" s="175" t="n"/>
      <c r="G14" s="175" t="n"/>
      <c r="H14" s="175" t="n"/>
      <c r="I14" s="176" t="n"/>
    </row>
    <row r="15" ht="15" customHeight="1" s="95" thickBot="1">
      <c r="A15" s="57" t="inlineStr">
        <is>
          <t>Street Address:</t>
        </is>
      </c>
      <c r="B15" s="180" t="n"/>
      <c r="C15" s="181" t="n"/>
      <c r="D15" s="29" t="inlineStr">
        <is>
          <t>1 Bonsmara Street Brits</t>
        </is>
      </c>
      <c r="E15" s="180" t="n"/>
      <c r="F15" s="180" t="n"/>
      <c r="G15" s="180" t="n"/>
      <c r="H15" s="180" t="n"/>
      <c r="I15" s="181" t="n"/>
    </row>
    <row r="16">
      <c r="A16" s="32" t="inlineStr">
        <is>
          <t>RMAA Contact:</t>
        </is>
      </c>
      <c r="B16" s="173" t="n"/>
      <c r="C16" s="174" t="n"/>
      <c r="D16" s="59" t="inlineStr">
        <is>
          <t>Nolwazi Legwabi</t>
        </is>
      </c>
      <c r="E16" s="173" t="n"/>
      <c r="F16" s="173" t="n"/>
      <c r="G16" s="173" t="n"/>
      <c r="H16" s="173" t="n"/>
      <c r="I16" s="174" t="n"/>
    </row>
    <row r="17">
      <c r="A17" s="34" t="inlineStr">
        <is>
          <t>Telephone:</t>
        </is>
      </c>
      <c r="B17" s="175" t="n"/>
      <c r="C17" s="176" t="n"/>
      <c r="D17" s="37" t="inlineStr">
        <is>
          <t>012 349 1237</t>
        </is>
      </c>
      <c r="E17" s="175" t="n"/>
      <c r="F17" s="175" t="n"/>
      <c r="G17" s="175" t="n"/>
      <c r="H17" s="175" t="n"/>
      <c r="I17" s="176" t="n"/>
    </row>
    <row r="18">
      <c r="A18" s="34" t="inlineStr">
        <is>
          <t>Cell:</t>
        </is>
      </c>
      <c r="B18" s="175" t="n"/>
      <c r="C18" s="176" t="n"/>
      <c r="D18" s="37" t="inlineStr">
        <is>
          <t>084 047 0001</t>
        </is>
      </c>
      <c r="E18" s="175" t="n"/>
      <c r="F18" s="175" t="n"/>
      <c r="G18" s="175" t="n"/>
      <c r="H18" s="175" t="n"/>
      <c r="I18" s="176" t="n"/>
    </row>
    <row r="19" ht="15.75" customHeight="1" s="95" thickBot="1">
      <c r="A19" s="57" t="inlineStr">
        <is>
          <t>E-mail:</t>
        </is>
      </c>
      <c r="B19" s="180" t="n"/>
      <c r="C19" s="181" t="n"/>
      <c r="D19" s="63" t="inlineStr">
        <is>
          <t>training@rmaa.co.za</t>
        </is>
      </c>
      <c r="E19" s="180" t="n"/>
      <c r="F19" s="180" t="n"/>
      <c r="G19" s="180" t="n"/>
      <c r="H19" s="180" t="n"/>
      <c r="I19" s="181" t="n"/>
    </row>
    <row r="20" ht="40.5" customFormat="1" customHeight="1" s="2" thickBot="1">
      <c r="A20" s="54" t="inlineStr">
        <is>
          <t>Notes: 15% VAT EXCLUDED in all cases/ 
CERTIFIED ID COPIES(COLOUR) NEEDED FOR ALL TRAINING</t>
        </is>
      </c>
      <c r="B20" s="172" t="n"/>
      <c r="C20" s="172" t="n"/>
      <c r="D20" s="172" t="n"/>
      <c r="E20" s="172" t="n"/>
      <c r="F20" s="172" t="n"/>
      <c r="G20" s="172" t="n"/>
      <c r="H20" s="172" t="n"/>
      <c r="I20" s="182" t="n"/>
    </row>
    <row r="21" ht="54" customFormat="1" customHeight="1" s="84">
      <c r="A21" s="104" t="inlineStr">
        <is>
          <t>Date</t>
        </is>
      </c>
      <c r="B21" s="173" t="n"/>
      <c r="C21" s="74" t="inlineStr">
        <is>
          <t>Skills Programme</t>
        </is>
      </c>
      <c r="D21" s="75" t="inlineStr">
        <is>
          <t>Amount</t>
        </is>
      </c>
      <c r="E21" s="74" t="inlineStr">
        <is>
          <t>Slaughter Technique</t>
        </is>
      </c>
      <c r="F21" s="75" t="inlineStr">
        <is>
          <t>Amount</t>
        </is>
      </c>
      <c r="G21" s="106" t="inlineStr">
        <is>
          <t>Distance (km)
@ R 5.5 pkm</t>
        </is>
      </c>
      <c r="H21" s="183" t="inlineStr">
        <is>
          <t>Accomm  @ 
R 800 pppn</t>
        </is>
      </c>
      <c r="I21" s="184" t="inlineStr">
        <is>
          <t>TOTAL R</t>
        </is>
      </c>
      <c r="J21" s="185" t="n"/>
      <c r="K21" s="84" t="n"/>
    </row>
    <row r="22" customFormat="1" s="84">
      <c r="A22" s="7" t="n">
        <v>1</v>
      </c>
      <c r="B22" s="72" t="n"/>
      <c r="C22" s="78" t="n"/>
      <c r="D22" s="77" t="n"/>
      <c r="E22" s="78" t="n"/>
      <c r="F22" s="186" t="n"/>
      <c r="G22" s="187" t="n"/>
      <c r="H22" s="188" t="n"/>
      <c r="I22" s="186">
        <f>SUM(F22+(G22*5.5)+H22)</f>
        <v/>
      </c>
      <c r="J22" s="189" t="n"/>
      <c r="K22" s="85" t="n"/>
    </row>
    <row r="23" customFormat="1" s="84">
      <c r="A23" s="7" t="n">
        <v>2</v>
      </c>
      <c r="B23" s="72" t="n"/>
      <c r="C23" s="78" t="n"/>
      <c r="D23" s="79" t="n"/>
      <c r="E23" s="78" t="n"/>
      <c r="F23" s="186" t="n"/>
      <c r="G23" s="187" t="n"/>
      <c r="H23" s="188" t="n"/>
      <c r="I23" s="186">
        <f>SUM(F23+(G23*5.5)+H23)</f>
        <v/>
      </c>
      <c r="J23" s="189" t="n"/>
      <c r="K23" s="85" t="n"/>
    </row>
    <row r="24" customFormat="1" s="84">
      <c r="A24" s="7" t="n">
        <v>3</v>
      </c>
      <c r="B24" s="72" t="n"/>
      <c r="C24" s="78" t="n"/>
      <c r="D24" s="79" t="n"/>
      <c r="E24" s="78" t="n"/>
      <c r="F24" s="186" t="n"/>
      <c r="G24" s="187" t="n"/>
      <c r="H24" s="188" t="n"/>
      <c r="I24" s="186">
        <f>SUM(F24+(G24*5.5)+H24)</f>
        <v/>
      </c>
      <c r="J24" s="189" t="n"/>
      <c r="K24" s="85" t="n"/>
    </row>
    <row r="25" customFormat="1" s="84">
      <c r="A25" s="7" t="n">
        <v>4</v>
      </c>
      <c r="B25" s="72" t="n"/>
      <c r="C25" s="78" t="n"/>
      <c r="D25" s="79" t="n"/>
      <c r="E25" s="78" t="n"/>
      <c r="F25" s="186" t="n"/>
      <c r="G25" s="187" t="n"/>
      <c r="H25" s="188" t="n"/>
      <c r="I25" s="186">
        <f>SUM(F25+(G25*5.5)+H25)</f>
        <v/>
      </c>
      <c r="J25" s="189" t="n"/>
      <c r="K25" s="85" t="n"/>
    </row>
    <row r="26" customFormat="1" s="84" thickBot="1">
      <c r="A26" s="108" t="n">
        <v>5</v>
      </c>
      <c r="B26" s="109" t="n"/>
      <c r="C26" s="80" t="n"/>
      <c r="D26" s="81" t="n"/>
      <c r="E26" s="80" t="n"/>
      <c r="F26" s="190" t="n"/>
      <c r="G26" s="191" t="n"/>
      <c r="H26" s="192" t="n"/>
      <c r="I26" s="190">
        <f>SUM(F26+(G26*5.5)+H26)</f>
        <v/>
      </c>
      <c r="J26" s="189" t="n"/>
      <c r="K26" s="85" t="n"/>
    </row>
    <row r="27" ht="14.45" customFormat="1" customHeight="1" s="84" thickBot="1">
      <c r="A27" s="193" t="n"/>
      <c r="B27" s="194" t="n"/>
      <c r="C27" s="194" t="n"/>
      <c r="D27" s="194" t="n"/>
      <c r="E27" s="194" t="n"/>
      <c r="F27" s="194" t="n"/>
      <c r="G27" s="194" t="n"/>
      <c r="H27" s="194" t="n"/>
      <c r="I27" s="195" t="n"/>
      <c r="K27" s="85" t="n"/>
    </row>
    <row r="28" hidden="1" ht="21.6" customFormat="1" customHeight="1" s="84">
      <c r="A28" s="112" t="n">
        <v>4</v>
      </c>
      <c r="B28" s="196" t="inlineStr">
        <is>
          <t>Service cost (PAH,HAW)</t>
        </is>
      </c>
      <c r="C28" s="197" t="n"/>
      <c r="D28" s="198" t="n"/>
      <c r="E28" s="199" t="n"/>
      <c r="F28" s="117" t="n"/>
      <c r="G28" s="118">
        <f>F28&amp;"km"</f>
        <v/>
      </c>
      <c r="H28" s="117" t="n"/>
      <c r="I28" s="200">
        <f>SUM(E28+(F28*5.5)+H28)</f>
        <v/>
      </c>
      <c r="K28" s="85" t="n"/>
    </row>
    <row r="29" ht="20.45" customFormat="1" customHeight="1" s="84">
      <c r="A29" s="124" t="n">
        <v>4</v>
      </c>
      <c r="B29" s="201" t="inlineStr">
        <is>
          <t>Sampling</t>
        </is>
      </c>
      <c r="C29" s="173" t="n"/>
      <c r="D29" s="173" t="n"/>
      <c r="E29" s="174" t="n"/>
      <c r="F29" s="202" t="n"/>
      <c r="G29" s="203" t="n"/>
      <c r="H29" s="204" t="n"/>
      <c r="I29" s="205">
        <f>SUM(F29+(G29*5.5)+H29)</f>
        <v/>
      </c>
      <c r="K29" s="85" t="n"/>
    </row>
    <row r="30" ht="19.35" customFormat="1" customHeight="1" s="84" thickBot="1">
      <c r="A30" s="108" t="n">
        <v>5</v>
      </c>
      <c r="B30" s="206" t="inlineStr">
        <is>
          <t>Audit verification</t>
        </is>
      </c>
      <c r="C30" s="180" t="n"/>
      <c r="D30" s="180" t="n"/>
      <c r="E30" s="181" t="n"/>
      <c r="F30" s="207" t="n"/>
      <c r="G30" s="208" t="n"/>
      <c r="H30" s="209" t="n"/>
      <c r="I30" s="210">
        <f>SUM(F30+(G30*5.5)+H30)</f>
        <v/>
      </c>
      <c r="K30" s="85" t="n"/>
    </row>
    <row r="31" ht="30" customFormat="1" customHeight="1" s="84" thickBot="1">
      <c r="A31" s="211" t="inlineStr">
        <is>
          <t>Sub - total</t>
        </is>
      </c>
      <c r="B31" s="194" t="n"/>
      <c r="C31" s="194" t="n"/>
      <c r="D31" s="194" t="n"/>
      <c r="E31" s="194" t="n"/>
      <c r="F31" s="194" t="n"/>
      <c r="G31" s="194" t="n"/>
      <c r="H31" s="212" t="n"/>
      <c r="I31" s="213">
        <f>SUM(I22:I30)</f>
        <v/>
      </c>
      <c r="K31" s="85" t="n"/>
    </row>
    <row r="32" hidden="1" ht="30" customFormat="1" customHeight="1" s="84">
      <c r="A32" s="7" t="n"/>
      <c r="B32" s="11" t="n"/>
      <c r="C32" s="13" t="n"/>
      <c r="D32" s="12" t="n"/>
      <c r="E32" s="214" t="n"/>
      <c r="F32" s="8" t="n"/>
      <c r="G32" s="8" t="n"/>
      <c r="H32" s="9" t="n"/>
      <c r="I32" s="215" t="n"/>
      <c r="K32" s="85" t="n"/>
    </row>
    <row r="33" hidden="1" ht="30" customFormat="1" customHeight="1" s="84">
      <c r="A33" s="112" t="n"/>
      <c r="B33" s="139" t="n"/>
      <c r="C33" s="140" t="n"/>
      <c r="D33" s="141" t="n"/>
      <c r="E33" s="216" t="n"/>
      <c r="F33" s="143" t="n"/>
      <c r="G33" s="143" t="n"/>
      <c r="H33" s="144" t="n"/>
      <c r="I33" s="217" t="n"/>
      <c r="K33" s="85" t="n"/>
    </row>
    <row r="34" ht="16.5" customFormat="1" customHeight="1" s="218">
      <c r="A34" s="242" t="inlineStr">
        <is>
          <t>Conducting an audit verification &amp; sampling enables us to provide you with a discount.</t>
        </is>
      </c>
      <c r="B34" s="170" t="n"/>
      <c r="C34" s="220" t="inlineStr">
        <is>
          <t>Discounted</t>
        </is>
      </c>
      <c r="D34" s="220" t="n"/>
      <c r="E34" s="174" t="n"/>
      <c r="F34" s="221" t="n"/>
      <c r="G34" s="222" t="n"/>
      <c r="H34" s="223" t="n"/>
      <c r="I34" s="224">
        <f>SUM(F34+(G34*5.5)+H34)</f>
        <v/>
      </c>
      <c r="J34" s="189" t="n"/>
      <c r="K34" s="189" t="n"/>
      <c r="L34" s="189" t="n"/>
      <c r="M34" s="189" t="n"/>
      <c r="N34" s="189" t="n"/>
      <c r="O34" s="189" t="n"/>
      <c r="P34" s="189" t="n"/>
      <c r="Q34" s="189" t="n"/>
      <c r="R34" s="189" t="n"/>
      <c r="S34" s="189" t="n"/>
      <c r="T34" s="189" t="n"/>
      <c r="U34" s="189" t="n"/>
      <c r="V34" s="189" t="n"/>
      <c r="W34" s="189" t="n"/>
      <c r="X34" s="189" t="n"/>
      <c r="Y34" s="189" t="n"/>
      <c r="Z34" s="189" t="n"/>
      <c r="AA34" s="189" t="n"/>
    </row>
    <row r="35">
      <c r="A35" s="22" t="n"/>
      <c r="C35" s="225" t="inlineStr">
        <is>
          <t>Discounted</t>
        </is>
      </c>
      <c r="D35" s="225" t="n"/>
      <c r="E35" s="176" t="n"/>
      <c r="F35" s="226" t="n"/>
      <c r="G35" s="227" t="n"/>
      <c r="H35" s="226" t="n"/>
      <c r="I35" s="228">
        <f>SUM(F35+(G35*5.5)+H35)</f>
        <v/>
      </c>
    </row>
    <row r="36">
      <c r="A36" s="22" t="n"/>
      <c r="C36" s="225" t="inlineStr">
        <is>
          <t>Discounted</t>
        </is>
      </c>
      <c r="D36" s="225" t="n"/>
      <c r="E36" s="176" t="n"/>
      <c r="F36" s="226" t="n"/>
      <c r="G36" s="227" t="n"/>
      <c r="H36" s="226" t="n"/>
      <c r="I36" s="228">
        <f>SUM(F36+(G36*5.5)+H36)</f>
        <v/>
      </c>
    </row>
    <row r="37" ht="15.75" customHeight="1" s="95" thickBot="1">
      <c r="A37" s="23" t="n"/>
      <c r="B37" s="1" t="n"/>
      <c r="C37" s="229" t="inlineStr">
        <is>
          <t>Discounted</t>
        </is>
      </c>
      <c r="D37" s="229" t="n"/>
      <c r="E37" s="181" t="n"/>
      <c r="F37" s="230" t="n"/>
      <c r="G37" s="231" t="n"/>
      <c r="H37" s="230" t="n"/>
      <c r="I37" s="232">
        <f>SUM(F37+(G37*5.5)+H37)</f>
        <v/>
      </c>
    </row>
    <row r="38" ht="22.5" customFormat="1" customHeight="1" s="5">
      <c r="A38" s="233" t="inlineStr">
        <is>
          <t>Discount provided</t>
        </is>
      </c>
      <c r="B38" s="194" t="n"/>
      <c r="C38" s="194" t="n"/>
      <c r="D38" s="194" t="n"/>
      <c r="E38" s="194" t="n"/>
      <c r="F38" s="194" t="n"/>
      <c r="G38" s="194" t="n"/>
      <c r="H38" s="212" t="n"/>
      <c r="I38" s="234">
        <f>SUM(I34:I37)</f>
        <v/>
      </c>
    </row>
    <row r="39" ht="19.5" customFormat="1" customHeight="1" s="5" thickBot="1">
      <c r="A39" s="235" t="inlineStr">
        <is>
          <t xml:space="preserve"> TOTAL Excl 15% VAT</t>
        </is>
      </c>
      <c r="B39" s="180" t="n"/>
      <c r="C39" s="180" t="n"/>
      <c r="D39" s="180" t="n"/>
      <c r="E39" s="180" t="n"/>
      <c r="F39" s="180" t="n"/>
      <c r="G39" s="180" t="n"/>
      <c r="H39" s="236" t="n"/>
      <c r="I39" s="237">
        <f>I31-I38</f>
        <v/>
      </c>
    </row>
    <row r="40" ht="23.45" customHeight="1" s="95">
      <c r="A40" s="238" t="inlineStr">
        <is>
          <t>For acceptance of the quote, please sign below and email back the signed copy</t>
        </is>
      </c>
      <c r="B40" s="170" t="n"/>
      <c r="C40" s="170" t="n"/>
      <c r="D40" s="170" t="n"/>
      <c r="E40" s="170" t="n"/>
      <c r="F40" s="170" t="n"/>
      <c r="G40" s="170" t="n"/>
      <c r="H40" s="170" t="n"/>
      <c r="I40" s="239" t="n"/>
    </row>
    <row r="41" ht="26.1" customHeight="1" s="95">
      <c r="A41" s="22" t="n"/>
      <c r="B41" s="70" t="n"/>
      <c r="C41" s="194" t="n"/>
      <c r="E41" s="168" t="n"/>
      <c r="H41" s="71" t="n"/>
      <c r="I41" s="195" t="n"/>
    </row>
    <row r="42">
      <c r="A42" s="22" t="n"/>
      <c r="B42" s="97" t="inlineStr">
        <is>
          <t>Client</t>
        </is>
      </c>
      <c r="C42" s="97" t="n"/>
      <c r="E42" s="168" t="n"/>
      <c r="H42" s="69" t="inlineStr">
        <is>
          <t>Date</t>
        </is>
      </c>
      <c r="I42" s="240" t="n"/>
    </row>
    <row r="43" ht="15.75" customHeight="1" s="95" thickBot="1">
      <c r="A43" s="23" t="n"/>
      <c r="B43" s="1" t="n"/>
      <c r="C43" s="1" t="n"/>
      <c r="D43" s="1" t="n"/>
      <c r="E43" s="169" t="n"/>
      <c r="F43" s="1" t="n"/>
      <c r="G43" s="1" t="n"/>
      <c r="H43" s="1" t="n"/>
      <c r="I43" s="241" t="n"/>
    </row>
    <row r="44" ht="52.5" customHeight="1" s="95">
      <c r="A44" s="67" t="inlineStr">
        <is>
          <t xml:space="preserve">General Manager : Dr GC Neethling
 Red Meat Abattoir Association                                                                     Abattoir Skills Training
</t>
        </is>
      </c>
      <c r="B44" s="170" t="n"/>
      <c r="C44" s="170" t="n"/>
      <c r="D44" s="170" t="n"/>
      <c r="E44" s="170" t="n"/>
      <c r="F44" s="170" t="n"/>
      <c r="G44" s="170" t="n"/>
      <c r="H44" s="170" t="n"/>
      <c r="I44" s="170" t="n"/>
    </row>
  </sheetData>
  <mergeCells count="55">
    <mergeCell ref="D11:I11"/>
    <mergeCell ref="D2:I2"/>
    <mergeCell ref="A39:H39"/>
    <mergeCell ref="D13:I13"/>
    <mergeCell ref="D34:E34"/>
    <mergeCell ref="B30:E30"/>
    <mergeCell ref="D17:I17"/>
    <mergeCell ref="A18:C18"/>
    <mergeCell ref="H41:I41"/>
    <mergeCell ref="A27:I27"/>
    <mergeCell ref="A3:C3"/>
    <mergeCell ref="D36:E36"/>
    <mergeCell ref="A12:C12"/>
    <mergeCell ref="D16:I16"/>
    <mergeCell ref="D7:I7"/>
    <mergeCell ref="A2:C2"/>
    <mergeCell ref="B28:D28"/>
    <mergeCell ref="A5:C5"/>
    <mergeCell ref="D4:I4"/>
    <mergeCell ref="A14:C14"/>
    <mergeCell ref="A8:C8"/>
    <mergeCell ref="D18:I18"/>
    <mergeCell ref="D9:I9"/>
    <mergeCell ref="A17:C17"/>
    <mergeCell ref="D12:I12"/>
    <mergeCell ref="D3:I3"/>
    <mergeCell ref="A4:C4"/>
    <mergeCell ref="A20:I20"/>
    <mergeCell ref="D8:I8"/>
    <mergeCell ref="D15:I15"/>
    <mergeCell ref="A10:C10"/>
    <mergeCell ref="A21:B21"/>
    <mergeCell ref="A13:C13"/>
    <mergeCell ref="A19:C19"/>
    <mergeCell ref="A34:B37"/>
    <mergeCell ref="D14:I14"/>
    <mergeCell ref="D5:I5"/>
    <mergeCell ref="A44:I44"/>
    <mergeCell ref="D37:E37"/>
    <mergeCell ref="A40:I40"/>
    <mergeCell ref="A9:C9"/>
    <mergeCell ref="A15:C15"/>
    <mergeCell ref="D19:I19"/>
    <mergeCell ref="D10:I10"/>
    <mergeCell ref="A11:C11"/>
    <mergeCell ref="A38:H38"/>
    <mergeCell ref="H42:I42"/>
    <mergeCell ref="A6:C6"/>
    <mergeCell ref="B29:E29"/>
    <mergeCell ref="D6:I6"/>
    <mergeCell ref="B41:C41"/>
    <mergeCell ref="A7:C7"/>
    <mergeCell ref="A31:H31"/>
    <mergeCell ref="A16:C16"/>
    <mergeCell ref="D35:E35"/>
  </mergeCells>
  <hyperlinks>
    <hyperlink xmlns:r="http://schemas.openxmlformats.org/officeDocument/2006/relationships" ref="D13" r:id="rId1"/>
    <hyperlink xmlns:r="http://schemas.openxmlformats.org/officeDocument/2006/relationships" ref="D19" r:id="rId2"/>
  </hyperlinks>
  <pageMargins left="0.7086614173228347" right="0.7086614173228347" top="0.3937007874015748" bottom="0.3937007874015748" header="0.3149606299212598" footer="1.141732283464567"/>
  <pageSetup orientation="portrait" paperSize="9" scale="69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Client</dc:creator>
  <dcterms:created xmlns:dcterms="http://purl.org/dc/terms/" xmlns:xsi="http://www.w3.org/2001/XMLSchema-instance" xsi:type="dcterms:W3CDTF">2018-02-01T05:26:32Z</dcterms:created>
  <dcterms:modified xmlns:dcterms="http://purl.org/dc/terms/" xmlns:xsi="http://www.w3.org/2001/XMLSchema-instance" xsi:type="dcterms:W3CDTF">2026-06-25T10:48:27Z</dcterms:modified>
  <cp:lastModifiedBy>Anthony Penzes</cp:lastModifiedBy>
  <cp:lastPrinted>2024-11-25T04:43:43Z</cp:lastPrinted>
</cp:coreProperties>
</file>