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  <font>
      <name val="Calibri"/>
      <b val="1"/>
      <color rgb="FFFF0000"/>
      <sz val="10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3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  <xf numFmtId="164" fontId="30" fillId="0" borderId="50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50</row>
      <rowOff>46377</rowOff>
    </from>
    <to>
      <col>1</col>
      <colOff>297656</colOff>
      <row>50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50</row>
      <rowOff>32945</rowOff>
    </from>
    <to>
      <col>9</col>
      <colOff>2211</colOff>
      <row>50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51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178" t="inlineStr">
        <is>
          <t>4920255173</t>
        </is>
      </c>
      <c r="E7" s="175" t="n"/>
      <c r="F7" s="175" t="n"/>
      <c r="G7" s="175" t="n"/>
      <c r="H7" s="175" t="n"/>
      <c r="I7" s="179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186" t="n"/>
      <c r="E22" s="78" t="n"/>
      <c r="F22" s="186" t="n"/>
      <c r="G22" s="187" t="n"/>
      <c r="H22" s="188" t="n"/>
      <c r="I22" s="186">
        <f>SUM(D22+F22+(G22*5.5)+H22)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79" t="n"/>
      <c r="E23" s="78" t="n"/>
      <c r="F23" s="186" t="n"/>
      <c r="G23" s="187" t="n"/>
      <c r="H23" s="188" t="n"/>
      <c r="I23" s="186">
        <f>SUM(D23+F23+(G23*5.5)+H23)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79" t="n"/>
      <c r="E24" s="78" t="n"/>
      <c r="F24" s="186" t="n"/>
      <c r="G24" s="187" t="n"/>
      <c r="H24" s="188" t="n"/>
      <c r="I24" s="186">
        <f>SUM(D24+F24+(G24*5.5)+H24)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79" t="n"/>
      <c r="E25" s="78" t="n"/>
      <c r="F25" s="186" t="n"/>
      <c r="G25" s="187" t="n"/>
      <c r="H25" s="188" t="n"/>
      <c r="I25" s="186">
        <f>SUM(D25+F25+(G25*5.5)+H25)</f>
        <v/>
      </c>
      <c r="J25" s="189" t="n"/>
      <c r="K25" s="85" t="n"/>
    </row>
    <row r="26" customFormat="1" s="84" thickBot="1">
      <c r="A26" s="108" t="n">
        <v>5</v>
      </c>
      <c r="B26" s="109" t="n"/>
      <c r="C26" s="80" t="n"/>
      <c r="D26" s="190" t="n"/>
      <c r="E26" s="80" t="n"/>
      <c r="F26" s="190" t="n"/>
      <c r="G26" s="191" t="n"/>
      <c r="H26" s="192" t="n"/>
      <c r="I26" s="190">
        <f>SUM(D26+F26+(G26*5.5)+H26)</f>
        <v/>
      </c>
      <c r="J26" s="189" t="n"/>
      <c r="K26" s="85" t="n"/>
    </row>
    <row r="27" customFormat="1" s="84">
      <c r="A27" s="7" t="n">
        <v>6</v>
      </c>
      <c r="B27" s="72" t="n"/>
      <c r="C27" s="78" t="n"/>
      <c r="D27" s="79" t="n"/>
      <c r="E27" s="78" t="n"/>
      <c r="F27" s="186" t="n"/>
      <c r="G27" s="187" t="n"/>
      <c r="H27" s="188" t="n"/>
      <c r="I27" s="186">
        <f>SUM(D27+F27+(G27*5.5)+H27)</f>
        <v/>
      </c>
      <c r="J27" s="189" t="n"/>
      <c r="K27" s="85" t="n"/>
    </row>
    <row r="28" customFormat="1" s="84">
      <c r="A28" s="7" t="n">
        <v>7</v>
      </c>
      <c r="B28" s="72" t="n"/>
      <c r="C28" s="78" t="n"/>
      <c r="D28" s="79" t="n"/>
      <c r="E28" s="78" t="n"/>
      <c r="F28" s="186" t="n"/>
      <c r="G28" s="187" t="n"/>
      <c r="H28" s="188" t="n"/>
      <c r="I28" s="186">
        <f>SUM(D28+F28+(G28*5.5)+H28)</f>
        <v/>
      </c>
      <c r="J28" s="189" t="n"/>
      <c r="K28" s="85" t="n"/>
    </row>
    <row r="29" customFormat="1" s="84">
      <c r="A29" s="7" t="n">
        <v>8</v>
      </c>
      <c r="B29" s="72" t="n"/>
      <c r="C29" s="78" t="n"/>
      <c r="D29" s="79" t="n"/>
      <c r="E29" s="78" t="n"/>
      <c r="F29" s="186" t="n"/>
      <c r="G29" s="187" t="n"/>
      <c r="H29" s="188" t="n"/>
      <c r="I29" s="186">
        <f>SUM(D29+F29+(G29*5.5)+H29)</f>
        <v/>
      </c>
      <c r="J29" s="189" t="n"/>
      <c r="K29" s="85" t="n"/>
    </row>
    <row r="30" customFormat="1" s="84">
      <c r="A30" s="7" t="n">
        <v>9</v>
      </c>
      <c r="B30" s="72" t="n"/>
      <c r="C30" s="78" t="n"/>
      <c r="D30" s="79" t="n"/>
      <c r="E30" s="78" t="n"/>
      <c r="F30" s="186" t="n"/>
      <c r="G30" s="187" t="n"/>
      <c r="H30" s="188" t="n"/>
      <c r="I30" s="186">
        <f>SUM(D30+F30+(G30*5.5)+H30)</f>
        <v/>
      </c>
      <c r="J30" s="189" t="n"/>
      <c r="K30" s="85" t="n"/>
    </row>
    <row r="31" customFormat="1" s="84">
      <c r="A31" s="7" t="n">
        <v>10</v>
      </c>
      <c r="B31" s="72" t="n"/>
      <c r="C31" s="78" t="n"/>
      <c r="D31" s="79" t="n"/>
      <c r="E31" s="78" t="n"/>
      <c r="F31" s="186" t="n"/>
      <c r="G31" s="187" t="n"/>
      <c r="H31" s="188" t="n"/>
      <c r="I31" s="186">
        <f>SUM(D31+F31+(G31*5.5)+H31)</f>
        <v/>
      </c>
      <c r="J31" s="189" t="n"/>
      <c r="K31" s="85" t="n"/>
    </row>
    <row r="32" customFormat="1" s="84">
      <c r="A32" s="7" t="n">
        <v>11</v>
      </c>
      <c r="B32" s="72" t="n"/>
      <c r="C32" s="78" t="n"/>
      <c r="D32" s="79" t="n"/>
      <c r="E32" s="78" t="n"/>
      <c r="F32" s="186" t="n"/>
      <c r="G32" s="187" t="n"/>
      <c r="H32" s="188" t="n"/>
      <c r="I32" s="186">
        <f>SUM(D32+F32+(G32*5.5)+H32)</f>
        <v/>
      </c>
      <c r="J32" s="189" t="n"/>
      <c r="K32" s="85" t="n"/>
    </row>
    <row r="33" customFormat="1" s="84">
      <c r="A33" s="7" t="n">
        <v>12</v>
      </c>
      <c r="B33" s="72" t="n"/>
      <c r="C33" s="78" t="n"/>
      <c r="D33" s="79" t="n"/>
      <c r="E33" s="78" t="n"/>
      <c r="F33" s="186" t="n"/>
      <c r="G33" s="187" t="n"/>
      <c r="H33" s="188" t="n"/>
      <c r="I33" s="186">
        <f>SUM(D33+F33+(G33*5.5)+H33)</f>
        <v/>
      </c>
      <c r="J33" s="189" t="n"/>
      <c r="K33" s="85" t="n"/>
    </row>
    <row r="34" ht="14.45" customFormat="1" customHeight="1" s="84" thickBot="1">
      <c r="A34" s="193" t="n"/>
      <c r="B34" s="194" t="n"/>
      <c r="C34" s="194" t="n"/>
      <c r="D34" s="194" t="n"/>
      <c r="E34" s="194" t="n"/>
      <c r="F34" s="194" t="n"/>
      <c r="G34" s="194" t="n"/>
      <c r="H34" s="194" t="n"/>
      <c r="I34" s="195" t="n"/>
      <c r="K34" s="85" t="n"/>
    </row>
    <row r="35" hidden="1" ht="21.6" customFormat="1" customHeight="1" s="84">
      <c r="A35" s="112" t="n">
        <v>4</v>
      </c>
      <c r="B35" s="196" t="inlineStr">
        <is>
          <t>Service cost (PAH,HAW)</t>
        </is>
      </c>
      <c r="C35" s="197" t="n"/>
      <c r="D35" s="198" t="n"/>
      <c r="E35" s="199" t="n"/>
      <c r="F35" s="117" t="n"/>
      <c r="G35" s="118">
        <f>F35&amp;"km"</f>
        <v/>
      </c>
      <c r="H35" s="117" t="n"/>
      <c r="I35" s="200">
        <f>SUM(E35+(F35*5.5)+H35)</f>
        <v/>
      </c>
      <c r="K35" s="85" t="n"/>
    </row>
    <row r="36" ht="20.45" customFormat="1" customHeight="1" s="84">
      <c r="A36" s="124" t="n">
        <v>4</v>
      </c>
      <c r="B36" s="201" t="inlineStr">
        <is>
          <t>Sampling</t>
        </is>
      </c>
      <c r="C36" s="173" t="n"/>
      <c r="D36" s="173" t="n"/>
      <c r="E36" s="174" t="n"/>
      <c r="F36" s="202" t="n"/>
      <c r="G36" s="203" t="n"/>
      <c r="H36" s="204" t="n"/>
      <c r="I36" s="205">
        <f>SUM(F36+(G36*5.5)+H36)</f>
        <v/>
      </c>
      <c r="K36" s="85" t="n"/>
    </row>
    <row r="37" ht="19.35" customFormat="1" customHeight="1" s="84" thickBot="1">
      <c r="A37" s="108" t="n">
        <v>5</v>
      </c>
      <c r="B37" s="206" t="inlineStr">
        <is>
          <t>Audit verification</t>
        </is>
      </c>
      <c r="C37" s="180" t="n"/>
      <c r="D37" s="180" t="n"/>
      <c r="E37" s="181" t="n"/>
      <c r="F37" s="207" t="n"/>
      <c r="G37" s="208" t="n"/>
      <c r="H37" s="209" t="n"/>
      <c r="I37" s="210">
        <f>SUM(F37+(G37*5.5)+H37)</f>
        <v/>
      </c>
      <c r="K37" s="85" t="n"/>
    </row>
    <row r="38" ht="30" customFormat="1" customHeight="1" s="84" thickBot="1">
      <c r="A38" s="211" t="inlineStr">
        <is>
          <t>Sub - total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13">
        <f>SUM(I22:I37)</f>
        <v/>
      </c>
      <c r="K38" s="85" t="n"/>
    </row>
    <row r="39" hidden="1" ht="30" customFormat="1" customHeight="1" s="84">
      <c r="A39" s="7" t="n"/>
      <c r="B39" s="11" t="n"/>
      <c r="C39" s="13" t="n"/>
      <c r="D39" s="12" t="n"/>
      <c r="E39" s="214" t="n"/>
      <c r="F39" s="8" t="n"/>
      <c r="G39" s="8" t="n"/>
      <c r="H39" s="9" t="n"/>
      <c r="I39" s="215" t="n"/>
      <c r="K39" s="85" t="n"/>
    </row>
    <row r="40" hidden="1" ht="30" customFormat="1" customHeight="1" s="84">
      <c r="A40" s="112" t="n"/>
      <c r="B40" s="139" t="n"/>
      <c r="C40" s="140" t="n"/>
      <c r="D40" s="141" t="n"/>
      <c r="E40" s="216" t="n"/>
      <c r="F40" s="143" t="n"/>
      <c r="G40" s="143" t="n"/>
      <c r="H40" s="144" t="n"/>
      <c r="I40" s="217" t="n"/>
      <c r="K40" s="85" t="n"/>
    </row>
    <row r="41" ht="16.5" customFormat="1" customHeight="1" s="218">
      <c r="A41" s="242" t="inlineStr">
        <is>
          <t>Conducting an audit verification &amp; sampling enables us to provide you with a discount.</t>
        </is>
      </c>
      <c r="B41" s="170" t="n"/>
      <c r="C41" s="220" t="inlineStr">
        <is>
          <t>Discounted</t>
        </is>
      </c>
      <c r="D41" s="220" t="n"/>
      <c r="E41" s="174" t="n"/>
      <c r="F41" s="221" t="n"/>
      <c r="G41" s="222" t="n"/>
      <c r="H41" s="223" t="n"/>
      <c r="I41" s="224">
        <f>SUM(F41+(G41*5.5)+H41)</f>
        <v/>
      </c>
      <c r="J41" s="189" t="n"/>
      <c r="K41" s="189" t="n"/>
      <c r="L41" s="189" t="n"/>
      <c r="M41" s="189" t="n"/>
      <c r="N41" s="189" t="n"/>
      <c r="O41" s="189" t="n"/>
      <c r="P41" s="189" t="n"/>
      <c r="Q41" s="189" t="n"/>
      <c r="R41" s="189" t="n"/>
      <c r="S41" s="189" t="n"/>
      <c r="T41" s="189" t="n"/>
      <c r="U41" s="189" t="n"/>
      <c r="V41" s="189" t="n"/>
      <c r="W41" s="189" t="n"/>
      <c r="X41" s="189" t="n"/>
      <c r="Y41" s="189" t="n"/>
      <c r="Z41" s="189" t="n"/>
      <c r="AA41" s="189" t="n"/>
    </row>
    <row r="42">
      <c r="A42" s="22" t="n"/>
      <c r="C42" s="225" t="inlineStr">
        <is>
          <t>Discounted</t>
        </is>
      </c>
      <c r="D42" s="225" t="n"/>
      <c r="E42" s="176" t="n"/>
      <c r="F42" s="226" t="n"/>
      <c r="G42" s="227" t="n"/>
      <c r="H42" s="226" t="n"/>
      <c r="I42" s="228">
        <f>SUM(F42+(G42*5.5)+H42)</f>
        <v/>
      </c>
    </row>
    <row r="43">
      <c r="A43" s="22" t="n"/>
      <c r="C43" s="225" t="inlineStr">
        <is>
          <t>Discounted</t>
        </is>
      </c>
      <c r="D43" s="225" t="n"/>
      <c r="E43" s="176" t="n"/>
      <c r="F43" s="226" t="n"/>
      <c r="G43" s="227" t="n"/>
      <c r="H43" s="226" t="n"/>
      <c r="I43" s="228">
        <f>SUM(F43+(G43*5.5)+H43)</f>
        <v/>
      </c>
    </row>
    <row r="44" ht="15.75" customHeight="1" s="95" thickBot="1">
      <c r="A44" s="23" t="n"/>
      <c r="B44" s="1" t="n"/>
      <c r="C44" s="229" t="inlineStr">
        <is>
          <t>Discounted</t>
        </is>
      </c>
      <c r="D44" s="229" t="n"/>
      <c r="E44" s="181" t="n"/>
      <c r="F44" s="230" t="n"/>
      <c r="G44" s="231" t="n"/>
      <c r="H44" s="230" t="n"/>
      <c r="I44" s="232">
        <f>SUM(F44+(G44*5.5)+H44)</f>
        <v/>
      </c>
    </row>
    <row r="45" ht="22.5" customFormat="1" customHeight="1" s="5">
      <c r="A45" s="233" t="inlineStr">
        <is>
          <t>Discount provided</t>
        </is>
      </c>
      <c r="B45" s="194" t="n"/>
      <c r="C45" s="194" t="n"/>
      <c r="D45" s="194" t="n"/>
      <c r="E45" s="194" t="n"/>
      <c r="F45" s="194" t="n"/>
      <c r="G45" s="194" t="n"/>
      <c r="H45" s="212" t="n"/>
      <c r="I45" s="234">
        <f>SUM(I41:I44)</f>
        <v/>
      </c>
    </row>
    <row r="46" ht="19.5" customFormat="1" customHeight="1" s="5" thickBot="1">
      <c r="A46" s="235" t="inlineStr">
        <is>
          <t xml:space="preserve"> TOTAL Excl 15% VAT</t>
        </is>
      </c>
      <c r="B46" s="180" t="n"/>
      <c r="C46" s="180" t="n"/>
      <c r="D46" s="180" t="n"/>
      <c r="E46" s="180" t="n"/>
      <c r="F46" s="180" t="n"/>
      <c r="G46" s="180" t="n"/>
      <c r="H46" s="236" t="n"/>
      <c r="I46" s="237">
        <f>I38+I45</f>
        <v/>
      </c>
    </row>
    <row r="47" ht="23.45" customHeight="1" s="95">
      <c r="A47" s="238" t="inlineStr">
        <is>
          <t>For acceptance of the quote, please sign below and email back the signed copy</t>
        </is>
      </c>
      <c r="B47" s="170" t="n"/>
      <c r="C47" s="170" t="n"/>
      <c r="D47" s="170" t="n"/>
      <c r="E47" s="170" t="n"/>
      <c r="F47" s="170" t="n"/>
      <c r="G47" s="170" t="n"/>
      <c r="H47" s="170" t="n"/>
      <c r="I47" s="239" t="n"/>
    </row>
    <row r="48" ht="26.1" customHeight="1" s="95">
      <c r="A48" s="22" t="n"/>
      <c r="B48" s="70" t="n"/>
      <c r="C48" s="194" t="n"/>
      <c r="E48" s="168" t="n"/>
      <c r="H48" s="71" t="n"/>
      <c r="I48" s="195" t="n"/>
    </row>
    <row r="49">
      <c r="A49" s="22" t="n"/>
      <c r="B49" s="97" t="inlineStr">
        <is>
          <t>Client</t>
        </is>
      </c>
      <c r="C49" s="97" t="n"/>
      <c r="E49" s="168" t="n"/>
      <c r="H49" s="69" t="inlineStr">
        <is>
          <t>Date</t>
        </is>
      </c>
      <c r="I49" s="240" t="n"/>
    </row>
    <row r="50" ht="15.75" customHeight="1" s="95" thickBot="1">
      <c r="A50" s="23" t="n"/>
      <c r="B50" s="1" t="n"/>
      <c r="C50" s="1" t="n"/>
      <c r="D50" s="1" t="n"/>
      <c r="E50" s="169" t="n"/>
      <c r="F50" s="1" t="n"/>
      <c r="G50" s="1" t="n"/>
      <c r="H50" s="1" t="n"/>
      <c r="I50" s="241" t="n"/>
    </row>
    <row r="51" ht="52.5" customHeight="1" s="95">
      <c r="A51" s="67" t="inlineStr">
        <is>
          <t xml:space="preserve">General Manager : Dr GC Neethling
 Red Meat Abattoir Association                                                                     Abattoir Skills Training
</t>
        </is>
      </c>
      <c r="B51" s="170" t="n"/>
      <c r="C51" s="170" t="n"/>
      <c r="D51" s="170" t="n"/>
      <c r="E51" s="170" t="n"/>
      <c r="F51" s="170" t="n"/>
      <c r="G51" s="170" t="n"/>
      <c r="H51" s="170" t="n"/>
      <c r="I51" s="170" t="n"/>
    </row>
  </sheetData>
  <mergeCells count="55">
    <mergeCell ref="D11:I11"/>
    <mergeCell ref="D2:I2"/>
    <mergeCell ref="A46:H46"/>
    <mergeCell ref="D13:I13"/>
    <mergeCell ref="D41:E41"/>
    <mergeCell ref="B37:E37"/>
    <mergeCell ref="D17:I17"/>
    <mergeCell ref="A18:C18"/>
    <mergeCell ref="H48:I48"/>
    <mergeCell ref="A34:I34"/>
    <mergeCell ref="A3:C3"/>
    <mergeCell ref="A12:C12"/>
    <mergeCell ref="D16:I16"/>
    <mergeCell ref="D43:E43"/>
    <mergeCell ref="D7:I7"/>
    <mergeCell ref="A2:C2"/>
    <mergeCell ref="B35:D35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41:B44"/>
    <mergeCell ref="D14:I14"/>
    <mergeCell ref="D5:I5"/>
    <mergeCell ref="A51:I51"/>
    <mergeCell ref="D44:E44"/>
    <mergeCell ref="A47:I47"/>
    <mergeCell ref="A9:C9"/>
    <mergeCell ref="A15:C15"/>
    <mergeCell ref="D19:I19"/>
    <mergeCell ref="D10:I10"/>
    <mergeCell ref="A11:C11"/>
    <mergeCell ref="A45:H45"/>
    <mergeCell ref="H49:I49"/>
    <mergeCell ref="A6:C6"/>
    <mergeCell ref="B36:E36"/>
    <mergeCell ref="D6:I6"/>
    <mergeCell ref="B48:C48"/>
    <mergeCell ref="A7:C7"/>
    <mergeCell ref="A38:H38"/>
    <mergeCell ref="A16:C16"/>
    <mergeCell ref="D42:E42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2026-07-01T08:54:31Z</dcterms:modified>
  <cp:lastModifiedBy>Anthony Penzes</cp:lastModifiedBy>
  <cp:lastPrinted>2024-11-25T04:43:43Z</cp:lastPrinted>
</cp:coreProperties>
</file>